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 activeTab="3"/>
  </bookViews>
  <sheets>
    <sheet name="DCF" sheetId="1" r:id="rId1"/>
    <sheet name="DATA" sheetId="2" r:id="rId2"/>
    <sheet name="BetaT" sheetId="4" r:id="rId3"/>
    <sheet name="BetaA" sheetId="5" r:id="rId4"/>
    <sheet name="Sheet7" sheetId="7" r:id="rId5"/>
    <sheet name="riskpre" sheetId="8" r:id="rId6"/>
    <sheet name="CompBeta" sheetId="6" r:id="rId7"/>
    <sheet name="Common size Statement" sheetId="9" r:id="rId8"/>
    <sheet name="FCFF" sheetId="10" r:id="rId9"/>
  </sheets>
  <externalReferences>
    <externalReference r:id="rId10"/>
  </externalReferences>
  <definedNames>
    <definedName name="_xlnm._FilterDatabase" localSheetId="3" hidden="1">BetaA!$F$6:$G$66</definedName>
    <definedName name="_xlnm._FilterDatabase" localSheetId="2" hidden="1">BetaT!$F$7:$G$66</definedName>
    <definedName name="Levered_Raw_Beta">#REF!</definedName>
    <definedName name="Market_Beta">#REF!</definedName>
    <definedName name="Market_Beta_Weight">#REF!</definedName>
    <definedName name="Raw_Beta_Weight">#REF!</definedName>
  </definedNames>
  <calcPr calcId="125725" iterate="1"/>
</workbook>
</file>

<file path=xl/calcChain.xml><?xml version="1.0" encoding="utf-8"?>
<calcChain xmlns="http://schemas.openxmlformats.org/spreadsheetml/2006/main">
  <c r="O5" i="5"/>
  <c r="O4"/>
  <c r="I14" i="10"/>
  <c r="J14" s="1"/>
  <c r="H14"/>
  <c r="G14"/>
  <c r="J36" i="1"/>
  <c r="C30" i="8" l="1"/>
  <c r="J25" i="1" s="1"/>
  <c r="G11" i="10"/>
  <c r="H11" s="1"/>
  <c r="I11" s="1"/>
  <c r="J11" s="1"/>
  <c r="F11"/>
  <c r="E10"/>
  <c r="E13" s="1"/>
  <c r="C28" i="8" l="1"/>
  <c r="I14" i="1"/>
  <c r="E17"/>
  <c r="E16"/>
  <c r="E15"/>
  <c r="E14"/>
  <c r="C35" s="1"/>
  <c r="D17"/>
  <c r="G17" s="1"/>
  <c r="D16"/>
  <c r="G16" s="1"/>
  <c r="D15"/>
  <c r="G15" s="1"/>
  <c r="D14"/>
  <c r="G14" s="1"/>
  <c r="K6" i="5"/>
  <c r="K13" s="1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P8" i="4"/>
  <c r="I15" i="1" s="1"/>
  <c r="P7" i="4"/>
  <c r="K6" s="1"/>
  <c r="K13" s="1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G19" i="1" l="1"/>
  <c r="G20"/>
  <c r="I20"/>
  <c r="I19"/>
  <c r="C34"/>
  <c r="C36" s="1"/>
  <c r="D34" s="1"/>
  <c r="D27"/>
  <c r="J43" s="1"/>
  <c r="F20"/>
  <c r="J35" s="1"/>
  <c r="F19"/>
  <c r="J14"/>
  <c r="H17"/>
  <c r="H16"/>
  <c r="H15"/>
  <c r="H14"/>
  <c r="J17"/>
  <c r="J16"/>
  <c r="J15"/>
  <c r="J20" l="1"/>
  <c r="J33" s="1"/>
  <c r="J19"/>
  <c r="H20"/>
  <c r="H19"/>
  <c r="E34" s="1"/>
  <c r="D35"/>
  <c r="J44" l="1"/>
  <c r="E35"/>
  <c r="D38"/>
  <c r="D36"/>
  <c r="J41" l="1"/>
  <c r="E38"/>
  <c r="J34" s="1"/>
  <c r="J26" s="1"/>
  <c r="J27" l="1"/>
  <c r="J40" l="1"/>
  <c r="J46" s="1"/>
  <c r="F13" i="10" l="1"/>
  <c r="G13" l="1"/>
  <c r="H13" l="1"/>
  <c r="I13" l="1"/>
  <c r="J13"/>
</calcChain>
</file>

<file path=xl/sharedStrings.xml><?xml version="1.0" encoding="utf-8"?>
<sst xmlns="http://schemas.openxmlformats.org/spreadsheetml/2006/main" count="167" uniqueCount="106">
  <si>
    <t>Weighted Average Cost of Capital</t>
  </si>
  <si>
    <t>All figures are in INR unless stated otherwise</t>
  </si>
  <si>
    <t>Peer Comps</t>
  </si>
  <si>
    <t>Name of the Comps</t>
  </si>
  <si>
    <t>Country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</si>
  <si>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</si>
  <si>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t>Total Debt</t>
  </si>
  <si>
    <t>Total Equity</t>
  </si>
  <si>
    <t>Debt/</t>
  </si>
  <si>
    <t>Equity</t>
  </si>
  <si>
    <t>Capital</t>
  </si>
  <si>
    <t xml:space="preserve">Levered </t>
  </si>
  <si>
    <t>Unlevered</t>
  </si>
  <si>
    <t>Beta 2</t>
  </si>
  <si>
    <r>
      <t>Beta</t>
    </r>
    <r>
      <rPr>
        <vertAlign val="superscript"/>
        <sz val="11"/>
        <color theme="1"/>
        <rFont val="Calibri"/>
        <family val="2"/>
      </rPr>
      <t xml:space="preserve"> 3</t>
    </r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</si>
  <si>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</si>
  <si>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t>India</t>
  </si>
  <si>
    <t>Average</t>
  </si>
  <si>
    <t>Median</t>
  </si>
  <si>
    <t>Cost of Debt</t>
  </si>
  <si>
    <t>Pre-Tax Cost of Debt</t>
  </si>
  <si>
    <t>Tax Rate</t>
  </si>
  <si>
    <t>Post-Tax Cost of Debt</t>
  </si>
  <si>
    <t>Risk Free Rate</t>
  </si>
  <si>
    <t>Equity Risk Premium</t>
  </si>
  <si>
    <t>Leverage Beta</t>
  </si>
  <si>
    <t>Cost of Equity</t>
  </si>
  <si>
    <t xml:space="preserve">Capital Structure </t>
  </si>
  <si>
    <t>Current</t>
  </si>
  <si>
    <t>Target</t>
  </si>
  <si>
    <t>Market Cap</t>
  </si>
  <si>
    <t>Total Cap</t>
  </si>
  <si>
    <t>Comps Median Unlevered Beta</t>
  </si>
  <si>
    <t>Target Debt/Equity</t>
  </si>
  <si>
    <t>Debt/Equity</t>
  </si>
  <si>
    <t>Date</t>
  </si>
  <si>
    <t>Closing Price</t>
  </si>
  <si>
    <t>Nifty 50</t>
  </si>
  <si>
    <t>Regression Beta-5 yrs monthly</t>
  </si>
  <si>
    <t>Beta 1</t>
  </si>
  <si>
    <t>Return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</si>
  <si>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</si>
  <si>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</si>
  <si>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</si>
  <si>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</si>
  <si>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</si>
  <si>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</si>
  <si>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</si>
  <si>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</si>
  <si>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</si>
  <si>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</si>
  <si>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</si>
  <si>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</si>
  <si>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</si>
  <si>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</si>
  <si>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</si>
  <si>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</si>
  <si>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</si>
  <si>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</si>
  <si>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</si>
  <si>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</si>
  <si>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</si>
  <si>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</si>
  <si>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</si>
  <si>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</si>
  <si>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</si>
  <si>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 Drifting</t>
  </si>
  <si>
    <t xml:space="preserve">Levered Raw Beta </t>
  </si>
  <si>
    <t xml:space="preserve">Raw Beta Weight </t>
  </si>
  <si>
    <t xml:space="preserve">Market Beta </t>
  </si>
  <si>
    <t>Market Beta Weight</t>
  </si>
  <si>
    <t>Adjusted Beta</t>
  </si>
  <si>
    <t>Trent</t>
  </si>
  <si>
    <t>Dmart</t>
  </si>
  <si>
    <t>Name</t>
  </si>
  <si>
    <t>CMP Rs.</t>
  </si>
  <si>
    <t xml:space="preserve">Mar Cap Rs.Cr. </t>
  </si>
  <si>
    <t>Debt Rs.Cr.</t>
  </si>
  <si>
    <t>Debt / Eq</t>
  </si>
  <si>
    <t>Avenue Super.</t>
  </si>
  <si>
    <t>Aditya Bir. Fas.</t>
  </si>
  <si>
    <t>Brainbees Solut.</t>
  </si>
  <si>
    <t>Redtape</t>
  </si>
  <si>
    <t>Metro Brand</t>
  </si>
  <si>
    <t>Year</t>
  </si>
  <si>
    <t>Annual</t>
  </si>
  <si>
    <t xml:space="preserve">Average </t>
  </si>
  <si>
    <t xml:space="preserve">divend yield </t>
  </si>
  <si>
    <t>Total return</t>
  </si>
  <si>
    <r>
      <t xml:space="preserve">1.27% </t>
    </r>
    <r>
      <rPr>
        <vertAlign val="superscript"/>
        <sz val="11"/>
        <color theme="1"/>
        <rFont val="Calibri"/>
        <family val="2"/>
      </rPr>
      <t>1</t>
    </r>
  </si>
  <si>
    <t xml:space="preserve">Cost of Equity </t>
  </si>
  <si>
    <t>Weigth of Equity</t>
  </si>
  <si>
    <t xml:space="preserve">Weight of Debt </t>
  </si>
  <si>
    <t>WACC</t>
  </si>
  <si>
    <t>AMU</t>
  </si>
  <si>
    <t>Levered Beta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</si>
  <si>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</si>
  <si>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</t>
  </si>
  <si>
    <t>Calculation of PV og FCFF</t>
  </si>
  <si>
    <t>EBIT</t>
  </si>
  <si>
    <t>EBIT(1-tax)</t>
  </si>
  <si>
    <t>Less: Reinvestment Rate</t>
  </si>
  <si>
    <t xml:space="preserve"> </t>
  </si>
  <si>
    <t>Total Cash flow</t>
  </si>
  <si>
    <t>Mid Year Convention</t>
  </si>
  <si>
    <t>PV factor of WACC</t>
  </si>
</sst>
</file>

<file path=xl/styles.xml><?xml version="1.0" encoding="utf-8"?>
<styleSheet xmlns="http://schemas.openxmlformats.org/spreadsheetml/2006/main">
  <numFmts count="5">
    <numFmt numFmtId="164" formatCode="0.00000%"/>
    <numFmt numFmtId="165" formatCode="0.000000%"/>
    <numFmt numFmtId="166" formatCode="0.0"/>
    <numFmt numFmtId="167" formatCode="mmm/yy\A"/>
    <numFmt numFmtId="168" formatCode="mmm/yy&quot;E&quot;"/>
  </numFmts>
  <fonts count="1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3333FF"/>
      <name val="Calibri"/>
      <family val="2"/>
    </font>
    <font>
      <b/>
      <sz val="48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Font="1"/>
    <xf numFmtId="0" fontId="5" fillId="0" borderId="0" xfId="0" applyFont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7" fillId="0" borderId="0" xfId="0" applyFont="1"/>
    <xf numFmtId="10" fontId="0" fillId="0" borderId="0" xfId="1" applyNumberFormat="1" applyFont="1"/>
    <xf numFmtId="10" fontId="0" fillId="3" borderId="0" xfId="1" applyNumberFormat="1" applyFont="1" applyFill="1"/>
    <xf numFmtId="2" fontId="0" fillId="0" borderId="0" xfId="0" applyNumberFormat="1"/>
    <xf numFmtId="10" fontId="7" fillId="0" borderId="0" xfId="1" applyNumberFormat="1" applyFont="1"/>
    <xf numFmtId="10" fontId="0" fillId="0" borderId="2" xfId="1" applyNumberFormat="1" applyFont="1" applyBorder="1"/>
    <xf numFmtId="10" fontId="0" fillId="0" borderId="3" xfId="1" applyNumberFormat="1" applyFont="1" applyBorder="1"/>
    <xf numFmtId="2" fontId="0" fillId="0" borderId="2" xfId="0" applyNumberFormat="1" applyBorder="1"/>
    <xf numFmtId="2" fontId="0" fillId="0" borderId="3" xfId="0" applyNumberFormat="1" applyBorder="1"/>
    <xf numFmtId="10" fontId="0" fillId="0" borderId="0" xfId="0" applyNumberFormat="1"/>
    <xf numFmtId="0" fontId="0" fillId="0" borderId="0" xfId="0" applyBorder="1"/>
    <xf numFmtId="0" fontId="0" fillId="0" borderId="1" xfId="0" applyBorder="1"/>
    <xf numFmtId="0" fontId="0" fillId="0" borderId="3" xfId="0" applyBorder="1" applyAlignment="1">
      <alignment horizontal="right" vertical="top"/>
    </xf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10" fontId="0" fillId="0" borderId="0" xfId="1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ill="1" applyBorder="1" applyAlignment="1"/>
    <xf numFmtId="0" fontId="0" fillId="0" borderId="4" xfId="0" applyFill="1" applyBorder="1" applyAlignment="1"/>
    <xf numFmtId="0" fontId="5" fillId="0" borderId="5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Continuous"/>
    </xf>
    <xf numFmtId="0" fontId="0" fillId="3" borderId="0" xfId="0" applyFill="1"/>
    <xf numFmtId="2" fontId="0" fillId="3" borderId="0" xfId="0" applyNumberFormat="1" applyFill="1"/>
    <xf numFmtId="0" fontId="0" fillId="2" borderId="0" xfId="0" applyFill="1"/>
    <xf numFmtId="2" fontId="0" fillId="2" borderId="0" xfId="0" applyNumberFormat="1" applyFill="1"/>
    <xf numFmtId="166" fontId="0" fillId="0" borderId="0" xfId="0" applyNumberFormat="1"/>
    <xf numFmtId="2" fontId="7" fillId="0" borderId="0" xfId="0" applyNumberFormat="1" applyFont="1"/>
    <xf numFmtId="2" fontId="0" fillId="0" borderId="0" xfId="0" applyNumberFormat="1" applyFont="1"/>
    <xf numFmtId="10" fontId="0" fillId="0" borderId="0" xfId="0" applyNumberFormat="1" applyAlignment="1">
      <alignment horizontal="right"/>
    </xf>
    <xf numFmtId="0" fontId="3" fillId="4" borderId="0" xfId="0" applyFont="1" applyFill="1" applyAlignment="1">
      <alignment horizontal="left"/>
    </xf>
    <xf numFmtId="10" fontId="3" fillId="4" borderId="0" xfId="0" applyNumberFormat="1" applyFont="1" applyFill="1"/>
    <xf numFmtId="10" fontId="0" fillId="6" borderId="0" xfId="1" applyNumberFormat="1" applyFont="1" applyFill="1"/>
    <xf numFmtId="10" fontId="0" fillId="0" borderId="0" xfId="0" applyNumberFormat="1" applyFont="1"/>
    <xf numFmtId="0" fontId="0" fillId="0" borderId="6" xfId="0" applyBorder="1"/>
    <xf numFmtId="0" fontId="3" fillId="0" borderId="7" xfId="0" applyFont="1" applyBorder="1"/>
    <xf numFmtId="0" fontId="0" fillId="0" borderId="8" xfId="0" applyBorder="1"/>
    <xf numFmtId="0" fontId="0" fillId="0" borderId="9" xfId="0" applyBorder="1"/>
    <xf numFmtId="10" fontId="7" fillId="0" borderId="10" xfId="0" applyNumberFormat="1" applyFont="1" applyBorder="1"/>
    <xf numFmtId="2" fontId="0" fillId="0" borderId="11" xfId="0" applyNumberFormat="1" applyBorder="1"/>
    <xf numFmtId="0" fontId="0" fillId="0" borderId="10" xfId="0" applyBorder="1"/>
    <xf numFmtId="0" fontId="0" fillId="0" borderId="12" xfId="0" applyBorder="1"/>
    <xf numFmtId="2" fontId="0" fillId="0" borderId="10" xfId="0" applyNumberFormat="1" applyBorder="1"/>
    <xf numFmtId="10" fontId="0" fillId="0" borderId="10" xfId="0" applyNumberFormat="1" applyBorder="1"/>
    <xf numFmtId="10" fontId="0" fillId="0" borderId="10" xfId="1" applyNumberFormat="1" applyFont="1" applyBorder="1"/>
    <xf numFmtId="0" fontId="0" fillId="0" borderId="13" xfId="0" applyBorder="1"/>
    <xf numFmtId="0" fontId="0" fillId="0" borderId="14" xfId="0" applyBorder="1"/>
    <xf numFmtId="0" fontId="3" fillId="3" borderId="13" xfId="0" applyFont="1" applyFill="1" applyBorder="1"/>
    <xf numFmtId="0" fontId="3" fillId="3" borderId="14" xfId="0" applyFont="1" applyFill="1" applyBorder="1"/>
    <xf numFmtId="10" fontId="3" fillId="3" borderId="15" xfId="0" applyNumberFormat="1" applyFont="1" applyFill="1" applyBorder="1"/>
    <xf numFmtId="10" fontId="0" fillId="0" borderId="10" xfId="0" applyNumberFormat="1" applyFont="1" applyBorder="1"/>
    <xf numFmtId="10" fontId="0" fillId="3" borderId="0" xfId="0" applyNumberFormat="1" applyFill="1"/>
    <xf numFmtId="10" fontId="0" fillId="3" borderId="14" xfId="1" applyNumberFormat="1" applyFont="1" applyFill="1" applyBorder="1"/>
    <xf numFmtId="0" fontId="0" fillId="3" borderId="13" xfId="0" applyFill="1" applyBorder="1"/>
    <xf numFmtId="0" fontId="0" fillId="3" borderId="14" xfId="0" applyFill="1" applyBorder="1"/>
    <xf numFmtId="2" fontId="0" fillId="3" borderId="15" xfId="0" applyNumberFormat="1" applyFill="1" applyBorder="1"/>
    <xf numFmtId="10" fontId="0" fillId="3" borderId="15" xfId="1" applyNumberFormat="1" applyFont="1" applyFill="1" applyBorder="1"/>
    <xf numFmtId="10" fontId="0" fillId="0" borderId="14" xfId="0" applyNumberFormat="1" applyBorder="1"/>
    <xf numFmtId="10" fontId="0" fillId="0" borderId="15" xfId="1" applyNumberFormat="1" applyFont="1" applyBorder="1"/>
    <xf numFmtId="167" fontId="9" fillId="5" borderId="0" xfId="0" applyNumberFormat="1" applyFont="1" applyFill="1" applyBorder="1" applyAlignment="1">
      <alignment horizontal="center"/>
    </xf>
    <xf numFmtId="168" fontId="9" fillId="5" borderId="0" xfId="0" applyNumberFormat="1" applyFont="1" applyFill="1" applyBorder="1" applyAlignment="1">
      <alignment horizontal="center"/>
    </xf>
    <xf numFmtId="0" fontId="4" fillId="5" borderId="0" xfId="0" applyFont="1" applyFill="1"/>
    <xf numFmtId="9" fontId="0" fillId="0" borderId="0" xfId="0" applyNumberFormat="1"/>
    <xf numFmtId="9" fontId="0" fillId="0" borderId="0" xfId="1" applyFont="1"/>
    <xf numFmtId="0" fontId="10" fillId="0" borderId="0" xfId="0" applyFont="1"/>
    <xf numFmtId="0" fontId="8" fillId="7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3333FF"/>
      <color rgb="FF0000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358585</xdr:colOff>
      <xdr:row>0</xdr:row>
      <xdr:rowOff>156884</xdr:rowOff>
    </xdr:from>
    <xdr:to>
      <xdr:col>1</xdr:col>
      <xdr:colOff>1030937</xdr:colOff>
      <xdr:row>4</xdr:row>
      <xdr:rowOff>67236</xdr:rowOff>
    </xdr:to>
    <xdr:pic>
      <xdr:nvPicPr>
        <xdr:cNvPr id="2" name="Picture 1" descr="Amu-logo.png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40000"/>
        </a:blip>
        <a:stretch>
          <a:fillRect/>
        </a:stretch>
      </xdr:blipFill>
      <xdr:spPr>
        <a:xfrm>
          <a:off x="481850" y="156884"/>
          <a:ext cx="672352" cy="6723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358585</xdr:colOff>
      <xdr:row>0</xdr:row>
      <xdr:rowOff>156884</xdr:rowOff>
    </xdr:from>
    <xdr:to>
      <xdr:col>1</xdr:col>
      <xdr:colOff>1076325</xdr:colOff>
      <xdr:row>4</xdr:row>
      <xdr:rowOff>67236</xdr:rowOff>
    </xdr:to>
    <xdr:pic>
      <xdr:nvPicPr>
        <xdr:cNvPr id="2" name="Picture 1" descr="Amu-logo.png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40000"/>
        </a:blip>
        <a:stretch>
          <a:fillRect/>
        </a:stretch>
      </xdr:blipFill>
      <xdr:spPr>
        <a:xfrm>
          <a:off x="482410" y="156884"/>
          <a:ext cx="717740" cy="6723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IA%20ZUBAIR/Desktop/MBA%20Study/fin%20mod/Tata%20Motors%20FS%20analysi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ustomization"/>
      <sheetName val="Data Sheet"/>
      <sheetName val="financial"/>
      <sheetName val="DATA"/>
      <sheetName val="historical"/>
      <sheetName val="cashflow"/>
      <sheetName val="Sheet1"/>
      <sheetName val="FORECA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9">
          <cell r="H19">
            <v>2234</v>
          </cell>
        </row>
        <row r="25">
          <cell r="H25">
            <v>22430.799999999959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L46"/>
  <sheetViews>
    <sheetView showGridLines="0" topLeftCell="A25" zoomScale="85" zoomScaleNormal="85" workbookViewId="0">
      <selection activeCell="J36" sqref="J36"/>
    </sheetView>
  </sheetViews>
  <sheetFormatPr defaultRowHeight="15"/>
  <cols>
    <col min="1" max="1" width="1.85546875" customWidth="1"/>
    <col min="2" max="2" width="22.5703125" customWidth="1"/>
    <col min="3" max="3" width="9.28515625" customWidth="1"/>
    <col min="4" max="4" width="11.85546875" customWidth="1"/>
    <col min="5" max="5" width="13" customWidth="1"/>
    <col min="6" max="6" width="11.7109375" customWidth="1"/>
    <col min="7" max="7" width="12.85546875" customWidth="1"/>
    <col min="8" max="8" width="12.28515625" customWidth="1"/>
    <col min="9" max="9" width="11.140625" customWidth="1"/>
    <col min="10" max="10" width="10.28515625" customWidth="1"/>
    <col min="11" max="11" width="12.42578125" customWidth="1"/>
    <col min="12" max="12" width="11.140625" bestFit="1" customWidth="1"/>
  </cols>
  <sheetData>
    <row r="1" spans="2:10" ht="15" customHeight="1">
      <c r="B1" s="79" t="s">
        <v>94</v>
      </c>
      <c r="C1" s="79"/>
      <c r="D1" s="79"/>
      <c r="E1" s="79"/>
      <c r="F1" s="79"/>
      <c r="G1" s="79"/>
      <c r="H1" s="79"/>
      <c r="I1" s="79"/>
      <c r="J1" s="79"/>
    </row>
    <row r="2" spans="2:10">
      <c r="B2" s="79"/>
      <c r="C2" s="79"/>
      <c r="D2" s="79"/>
      <c r="E2" s="79"/>
      <c r="F2" s="79"/>
      <c r="G2" s="79"/>
      <c r="H2" s="79"/>
      <c r="I2" s="79"/>
      <c r="J2" s="79"/>
    </row>
    <row r="3" spans="2:10">
      <c r="B3" s="79"/>
      <c r="C3" s="79"/>
      <c r="D3" s="79"/>
      <c r="E3" s="79"/>
      <c r="F3" s="79"/>
      <c r="G3" s="79"/>
      <c r="H3" s="79"/>
      <c r="I3" s="79"/>
      <c r="J3" s="79"/>
    </row>
    <row r="4" spans="2:10">
      <c r="B4" s="79"/>
      <c r="C4" s="79"/>
      <c r="D4" s="79"/>
      <c r="E4" s="79"/>
      <c r="F4" s="79"/>
      <c r="G4" s="79"/>
      <c r="H4" s="79"/>
      <c r="I4" s="79"/>
      <c r="J4" s="79"/>
    </row>
    <row r="5" spans="2:10">
      <c r="B5" s="79"/>
      <c r="C5" s="79"/>
      <c r="D5" s="79"/>
      <c r="E5" s="79"/>
      <c r="F5" s="79"/>
      <c r="G5" s="79"/>
      <c r="H5" s="79"/>
      <c r="I5" s="79"/>
      <c r="J5" s="79"/>
    </row>
    <row r="6" spans="2:10">
      <c r="B6" s="80" t="s">
        <v>0</v>
      </c>
      <c r="C6" s="80"/>
      <c r="D6" s="80"/>
      <c r="E6" s="80"/>
      <c r="F6" s="80"/>
      <c r="G6" s="80"/>
      <c r="H6" s="80"/>
      <c r="I6" s="80"/>
      <c r="J6" s="80"/>
    </row>
    <row r="8" spans="2:10">
      <c r="B8" s="2" t="s">
        <v>1</v>
      </c>
    </row>
    <row r="10" spans="2:10">
      <c r="B10" t="s">
        <v>2</v>
      </c>
    </row>
    <row r="11" spans="2:10">
      <c r="B11" s="3"/>
      <c r="C11" s="5"/>
      <c r="D11" s="5"/>
      <c r="E11" s="5"/>
      <c r="F11" s="5"/>
      <c r="G11" s="5" t="s">
        <v>8</v>
      </c>
      <c r="H11" s="5" t="s">
        <v>8</v>
      </c>
      <c r="I11" s="5" t="s">
        <v>11</v>
      </c>
      <c r="J11" s="5" t="s">
        <v>12</v>
      </c>
    </row>
    <row r="12" spans="2:10" ht="17.25">
      <c r="B12" s="4" t="s">
        <v>3</v>
      </c>
      <c r="C12" s="6" t="s">
        <v>4</v>
      </c>
      <c r="D12" s="6" t="s">
        <v>6</v>
      </c>
      <c r="E12" s="6" t="s">
        <v>7</v>
      </c>
      <c r="F12" s="6" t="s">
        <v>5</v>
      </c>
      <c r="G12" s="19" t="s">
        <v>9</v>
      </c>
      <c r="H12" s="19" t="s">
        <v>10</v>
      </c>
      <c r="I12" s="6" t="s">
        <v>15</v>
      </c>
      <c r="J12" s="6" t="s">
        <v>14</v>
      </c>
    </row>
    <row r="14" spans="2:10">
      <c r="B14" s="7" t="s">
        <v>79</v>
      </c>
      <c r="C14" s="7" t="s">
        <v>16</v>
      </c>
      <c r="D14" s="1">
        <f>IFERROR(CompBeta!E3,0)</f>
        <v>712.91</v>
      </c>
      <c r="E14" s="1">
        <f>IFERROR(CompBeta!D3,0)</f>
        <v>248261.6</v>
      </c>
      <c r="F14" s="11">
        <v>0.3</v>
      </c>
      <c r="G14" s="9">
        <f>D14/E14</f>
        <v>2.8716080134825522E-3</v>
      </c>
      <c r="H14" s="9">
        <f>D14/(E14+D14)</f>
        <v>2.8633854927558647E-3</v>
      </c>
      <c r="I14" s="42">
        <f>BetaA!O5</f>
        <v>0.29706840131998502</v>
      </c>
      <c r="J14" s="10">
        <f>I14/(1+(1-F14)*G14)</f>
        <v>0.29647245444680859</v>
      </c>
    </row>
    <row r="15" spans="2:10">
      <c r="B15" s="7" t="s">
        <v>72</v>
      </c>
      <c r="C15" s="7" t="s">
        <v>16</v>
      </c>
      <c r="D15" s="1">
        <f>IFERROR(CompBeta!E4,0)</f>
        <v>1842.2</v>
      </c>
      <c r="E15" s="1">
        <f>IFERROR(CompBeta!D4,0)</f>
        <v>244650.38</v>
      </c>
      <c r="F15" s="11">
        <v>0.3</v>
      </c>
      <c r="G15" s="9">
        <f t="shared" ref="G15:G17" si="0">D15/E15</f>
        <v>7.5299290358756031E-3</v>
      </c>
      <c r="H15" s="9">
        <f t="shared" ref="H15:H17" si="1">D15/(E15+D15)</f>
        <v>7.4736529594521669E-3</v>
      </c>
      <c r="I15" s="42">
        <f>BetaT!P8</f>
        <v>1.0840801161882092</v>
      </c>
      <c r="J15" s="10">
        <f t="shared" ref="J15:J17" si="2">I15/(1+(1-F15)*G15)</f>
        <v>1.0783959447327198</v>
      </c>
    </row>
    <row r="16" spans="2:10">
      <c r="B16" s="7" t="s">
        <v>80</v>
      </c>
      <c r="C16" s="7" t="s">
        <v>16</v>
      </c>
      <c r="D16" s="1">
        <f>IFERROR(CompBeta!E5,0)</f>
        <v>9999.18</v>
      </c>
      <c r="E16" s="1">
        <f>IFERROR(CompBeta!D5,0)</f>
        <v>33255.53</v>
      </c>
      <c r="F16" s="11">
        <v>0.3</v>
      </c>
      <c r="G16" s="9">
        <f t="shared" si="0"/>
        <v>0.30067721067744224</v>
      </c>
      <c r="H16" s="9">
        <f t="shared" si="1"/>
        <v>0.23116973850940165</v>
      </c>
      <c r="I16" s="41">
        <v>1.36</v>
      </c>
      <c r="J16" s="10">
        <f t="shared" si="2"/>
        <v>1.1235267727034655</v>
      </c>
    </row>
    <row r="17" spans="2:11">
      <c r="B17" s="7" t="s">
        <v>83</v>
      </c>
      <c r="C17" s="7" t="s">
        <v>16</v>
      </c>
      <c r="D17" s="1">
        <f>IFERROR(CompBeta!E6,0)</f>
        <v>1573.61</v>
      </c>
      <c r="E17" s="1">
        <f>IFERROR(CompBeta!D6,0)</f>
        <v>30481.34</v>
      </c>
      <c r="F17" s="11">
        <v>0.3</v>
      </c>
      <c r="G17" s="9">
        <f t="shared" si="0"/>
        <v>5.1625355053288337E-2</v>
      </c>
      <c r="H17" s="9">
        <f t="shared" si="1"/>
        <v>4.9091014024355048E-2</v>
      </c>
      <c r="I17" s="7">
        <v>1.0900000000000001</v>
      </c>
      <c r="J17" s="10">
        <f t="shared" si="2"/>
        <v>1.0519836783658685</v>
      </c>
    </row>
    <row r="18" spans="2:11">
      <c r="B18" s="7"/>
      <c r="C18" s="7"/>
      <c r="D18" s="1"/>
      <c r="E18" s="1"/>
      <c r="F18" s="11"/>
      <c r="G18" s="46"/>
      <c r="H18" s="46"/>
      <c r="I18" s="7"/>
      <c r="J18" s="10"/>
    </row>
    <row r="19" spans="2:11">
      <c r="E19" s="3" t="s">
        <v>17</v>
      </c>
      <c r="F19" s="12">
        <f>AVERAGE(F14:F18)</f>
        <v>0.3</v>
      </c>
      <c r="G19" s="12">
        <f>AVERAGE(G14:G17)</f>
        <v>9.0676025695022186E-2</v>
      </c>
      <c r="H19" s="12">
        <f>AVERAGE(H14:H17)</f>
        <v>7.264944774649118E-2</v>
      </c>
      <c r="I19" s="14">
        <f>AVERAGE(I14:I17)</f>
        <v>0.95778712937704857</v>
      </c>
      <c r="J19" s="14">
        <f>AVERAGE(J14:J17)</f>
        <v>0.88759471256221545</v>
      </c>
      <c r="K19" s="17"/>
    </row>
    <row r="20" spans="2:11">
      <c r="E20" s="4" t="s">
        <v>18</v>
      </c>
      <c r="F20" s="13">
        <f>MEDIAN(F14:F18)</f>
        <v>0.3</v>
      </c>
      <c r="G20" s="13">
        <f>MEDIAN(G14:G17)</f>
        <v>2.9577642044581968E-2</v>
      </c>
      <c r="H20" s="13">
        <f>MEDIAN(H14:H17)</f>
        <v>2.8282333491903608E-2</v>
      </c>
      <c r="I20" s="15">
        <f>MEDIAN(I14:I17)</f>
        <v>1.0870400580941046</v>
      </c>
      <c r="J20" s="15">
        <f>MEDIAN(J14:J17)</f>
        <v>1.0651898115492942</v>
      </c>
      <c r="K20" s="17"/>
    </row>
    <row r="23" spans="2:11">
      <c r="B23" s="4" t="s">
        <v>19</v>
      </c>
      <c r="C23" s="4"/>
      <c r="D23" s="4"/>
      <c r="E23" s="17"/>
      <c r="F23" s="50" t="s">
        <v>26</v>
      </c>
      <c r="G23" s="18"/>
      <c r="H23" s="18"/>
      <c r="I23" s="18"/>
      <c r="J23" s="51"/>
    </row>
    <row r="24" spans="2:11">
      <c r="E24" s="17"/>
      <c r="F24" s="48" t="s">
        <v>23</v>
      </c>
      <c r="G24" s="17"/>
      <c r="H24" s="17"/>
      <c r="I24" s="17"/>
      <c r="J24" s="52">
        <v>6.5000000000000002E-2</v>
      </c>
    </row>
    <row r="25" spans="2:11">
      <c r="B25" t="s">
        <v>20</v>
      </c>
      <c r="D25" s="11">
        <v>8.4000000000000005E-2</v>
      </c>
      <c r="E25" s="17"/>
      <c r="F25" s="48" t="s">
        <v>24</v>
      </c>
      <c r="G25" s="17"/>
      <c r="H25" s="17"/>
      <c r="I25" s="17"/>
      <c r="J25" s="64">
        <f>IFERROR(riskpre!C30-DCF!J24,0)</f>
        <v>9.1091666666666654E-2</v>
      </c>
    </row>
    <row r="26" spans="2:11" ht="17.25">
      <c r="B26" t="s">
        <v>21</v>
      </c>
      <c r="D26" s="11">
        <v>0.3</v>
      </c>
      <c r="E26" s="17"/>
      <c r="F26" s="48" t="s">
        <v>96</v>
      </c>
      <c r="G26" s="17"/>
      <c r="H26" s="17"/>
      <c r="I26" s="17"/>
      <c r="J26" s="53">
        <f>J36</f>
        <v>1.1236033380806971</v>
      </c>
    </row>
    <row r="27" spans="2:11">
      <c r="B27" s="60" t="s">
        <v>22</v>
      </c>
      <c r="C27" s="60"/>
      <c r="D27" s="66">
        <f>D25*(1-D26)</f>
        <v>5.8799999999999998E-2</v>
      </c>
      <c r="E27" s="17"/>
      <c r="F27" s="59" t="s">
        <v>26</v>
      </c>
      <c r="G27" s="60"/>
      <c r="H27" s="60"/>
      <c r="I27" s="60"/>
      <c r="J27" s="70">
        <f>J24+J26*(J25)</f>
        <v>0.16735090073800082</v>
      </c>
    </row>
    <row r="28" spans="2:11">
      <c r="F28" s="48"/>
      <c r="G28" s="17"/>
      <c r="H28" s="17"/>
      <c r="I28" s="17"/>
      <c r="J28" s="54"/>
    </row>
    <row r="29" spans="2:11">
      <c r="F29" s="48"/>
      <c r="G29" s="17"/>
      <c r="H29" s="17"/>
      <c r="I29" s="17"/>
      <c r="J29" s="54"/>
    </row>
    <row r="30" spans="2:11">
      <c r="F30" s="48"/>
      <c r="G30" s="17"/>
      <c r="H30" s="17"/>
      <c r="I30" s="17"/>
      <c r="J30" s="54"/>
    </row>
    <row r="31" spans="2:11">
      <c r="B31" s="4" t="s">
        <v>27</v>
      </c>
      <c r="C31" s="4"/>
      <c r="D31" s="4"/>
      <c r="E31" s="4"/>
      <c r="F31" s="49" t="s">
        <v>25</v>
      </c>
      <c r="G31" s="4"/>
      <c r="H31" s="4"/>
      <c r="I31" s="4"/>
      <c r="J31" s="55"/>
    </row>
    <row r="32" spans="2:11">
      <c r="F32" s="48"/>
      <c r="G32" s="17"/>
      <c r="H32" s="17"/>
      <c r="I32" s="17"/>
      <c r="J32" s="54"/>
    </row>
    <row r="33" spans="2:12">
      <c r="D33" s="4" t="s">
        <v>28</v>
      </c>
      <c r="E33" s="4" t="s">
        <v>29</v>
      </c>
      <c r="F33" s="48" t="s">
        <v>32</v>
      </c>
      <c r="G33" s="17"/>
      <c r="H33" s="17"/>
      <c r="I33" s="17"/>
      <c r="J33" s="56">
        <f>J20</f>
        <v>1.0651898115492942</v>
      </c>
    </row>
    <row r="34" spans="2:12">
      <c r="B34" t="s">
        <v>6</v>
      </c>
      <c r="C34" s="7">
        <f>D14</f>
        <v>712.91</v>
      </c>
      <c r="D34" s="8">
        <f>C34/$C$36</f>
        <v>2.8633854927558647E-3</v>
      </c>
      <c r="E34" s="47">
        <f>H19</f>
        <v>7.264944774649118E-2</v>
      </c>
      <c r="F34" s="48" t="s">
        <v>33</v>
      </c>
      <c r="G34" s="17"/>
      <c r="H34" s="17"/>
      <c r="I34" s="17"/>
      <c r="J34" s="57">
        <f>E38</f>
        <v>7.8340868585185339E-2</v>
      </c>
    </row>
    <row r="35" spans="2:12">
      <c r="B35" t="s">
        <v>30</v>
      </c>
      <c r="C35" s="7">
        <f>E14</f>
        <v>248261.6</v>
      </c>
      <c r="D35" s="8">
        <f>C35/$C$36</f>
        <v>0.99713661450724411</v>
      </c>
      <c r="E35" s="16">
        <f>E36-E34</f>
        <v>0.92735055225350882</v>
      </c>
      <c r="F35" s="48" t="s">
        <v>21</v>
      </c>
      <c r="G35" s="17"/>
      <c r="H35" s="17"/>
      <c r="I35" s="17"/>
      <c r="J35" s="58">
        <f>F20</f>
        <v>0.3</v>
      </c>
    </row>
    <row r="36" spans="2:12">
      <c r="B36" s="60" t="s">
        <v>31</v>
      </c>
      <c r="C36" s="60">
        <f>SUM(C34:C35)</f>
        <v>248974.51</v>
      </c>
      <c r="D36" s="71">
        <f>SUM(D34:D35)</f>
        <v>1</v>
      </c>
      <c r="E36" s="72">
        <v>1</v>
      </c>
      <c r="F36" s="67" t="s">
        <v>95</v>
      </c>
      <c r="G36" s="68"/>
      <c r="H36" s="68"/>
      <c r="I36" s="68"/>
      <c r="J36" s="69">
        <f>J33*(1+(1-J35)*J34)</f>
        <v>1.1236033380806971</v>
      </c>
    </row>
    <row r="37" spans="2:12">
      <c r="F37" s="48"/>
      <c r="G37" s="17"/>
      <c r="H37" s="17"/>
      <c r="I37" s="17"/>
      <c r="J37" s="54"/>
    </row>
    <row r="38" spans="2:12">
      <c r="B38" t="s">
        <v>34</v>
      </c>
      <c r="D38" s="65">
        <f>D34/D35</f>
        <v>2.8716080134825522E-3</v>
      </c>
      <c r="E38" s="65">
        <f>E34/E35</f>
        <v>7.8340868585185339E-2</v>
      </c>
      <c r="F38" s="49" t="s">
        <v>0</v>
      </c>
      <c r="G38" s="4"/>
      <c r="H38" s="4"/>
      <c r="I38" s="4"/>
      <c r="J38" s="55"/>
    </row>
    <row r="39" spans="2:12">
      <c r="F39" s="48"/>
      <c r="G39" s="17"/>
      <c r="H39" s="17"/>
      <c r="I39" s="17"/>
      <c r="J39" s="54"/>
    </row>
    <row r="40" spans="2:12">
      <c r="F40" s="48" t="s">
        <v>90</v>
      </c>
      <c r="G40" s="17"/>
      <c r="H40" s="17"/>
      <c r="I40" s="17"/>
      <c r="J40" s="57">
        <f>J27</f>
        <v>0.16735090073800082</v>
      </c>
    </row>
    <row r="41" spans="2:12">
      <c r="F41" s="48" t="s">
        <v>91</v>
      </c>
      <c r="G41" s="17"/>
      <c r="H41" s="17"/>
      <c r="I41" s="17"/>
      <c r="J41" s="57">
        <f>E35</f>
        <v>0.92735055225350882</v>
      </c>
      <c r="L41" s="21"/>
    </row>
    <row r="42" spans="2:12">
      <c r="F42" s="48"/>
      <c r="G42" s="17"/>
      <c r="H42" s="17"/>
      <c r="I42" s="17"/>
      <c r="J42" s="54"/>
      <c r="L42" s="22"/>
    </row>
    <row r="43" spans="2:12">
      <c r="F43" s="48" t="s">
        <v>19</v>
      </c>
      <c r="G43" s="17"/>
      <c r="H43" s="17"/>
      <c r="I43" s="17"/>
      <c r="J43" s="57">
        <f>D27</f>
        <v>5.8799999999999998E-2</v>
      </c>
      <c r="L43" s="21"/>
    </row>
    <row r="44" spans="2:12">
      <c r="F44" s="48" t="s">
        <v>92</v>
      </c>
      <c r="G44" s="17"/>
      <c r="H44" s="17"/>
      <c r="I44" s="17"/>
      <c r="J44" s="57">
        <f>E34</f>
        <v>7.264944774649118E-2</v>
      </c>
    </row>
    <row r="45" spans="2:12">
      <c r="F45" s="48"/>
      <c r="G45" s="17"/>
      <c r="H45" s="17"/>
      <c r="I45" s="17"/>
      <c r="J45" s="54"/>
    </row>
    <row r="46" spans="2:12">
      <c r="F46" s="61" t="s">
        <v>93</v>
      </c>
      <c r="G46" s="62"/>
      <c r="H46" s="62"/>
      <c r="I46" s="62"/>
      <c r="J46" s="63">
        <f>(J40*J41)+(J43*J44)</f>
        <v>0.1594647377470009</v>
      </c>
    </row>
  </sheetData>
  <mergeCells count="2">
    <mergeCell ref="B1:J5"/>
    <mergeCell ref="B6:J6"/>
  </mergeCells>
  <pageMargins left="0.31496062992125984" right="0.31496062992125984" top="0.74803149606299213" bottom="0.74803149606299213" header="0.31496062992125984" footer="0.31496062992125984"/>
  <pageSetup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2060"/>
  </sheetPr>
  <dimension ref="A1"/>
  <sheetViews>
    <sheetView topLeftCell="A14" workbookViewId="0">
      <selection activeCell="A26" sqref="A26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T66"/>
  <sheetViews>
    <sheetView workbookViewId="0">
      <selection activeCell="P8" sqref="P8"/>
    </sheetView>
  </sheetViews>
  <sheetFormatPr defaultRowHeight="15"/>
  <cols>
    <col min="1" max="1" width="1.85546875" customWidth="1"/>
    <col min="2" max="2" width="10.85546875" customWidth="1"/>
    <col min="3" max="3" width="12.28515625" customWidth="1"/>
    <col min="4" max="4" width="11" customWidth="1"/>
    <col min="6" max="6" width="11.5703125" customWidth="1"/>
    <col min="7" max="7" width="12.28515625" customWidth="1"/>
    <col min="8" max="8" width="10.85546875" customWidth="1"/>
    <col min="10" max="10" width="16" customWidth="1"/>
    <col min="11" max="11" width="12.28515625" customWidth="1"/>
  </cols>
  <sheetData>
    <row r="2" spans="2:16">
      <c r="B2" s="31" t="s">
        <v>38</v>
      </c>
    </row>
    <row r="4" spans="2:16">
      <c r="B4" s="81" t="s">
        <v>37</v>
      </c>
      <c r="C4" s="81"/>
      <c r="D4" s="81"/>
      <c r="F4" s="81" t="s">
        <v>72</v>
      </c>
      <c r="G4" s="81"/>
      <c r="H4" s="81"/>
      <c r="J4" s="82" t="s">
        <v>66</v>
      </c>
      <c r="K4" s="82"/>
    </row>
    <row r="5" spans="2:16">
      <c r="B5" s="25"/>
      <c r="F5" s="25"/>
    </row>
    <row r="6" spans="2:16">
      <c r="B6" s="31" t="s">
        <v>35</v>
      </c>
      <c r="C6" s="20" t="s">
        <v>36</v>
      </c>
      <c r="D6" s="29" t="s">
        <v>40</v>
      </c>
      <c r="F6" s="31" t="s">
        <v>35</v>
      </c>
      <c r="G6" s="20" t="s">
        <v>36</v>
      </c>
      <c r="H6" s="29" t="s">
        <v>40</v>
      </c>
      <c r="J6" t="s">
        <v>67</v>
      </c>
      <c r="K6" s="10">
        <f>P7</f>
        <v>1.0840801161882097</v>
      </c>
    </row>
    <row r="7" spans="2:16">
      <c r="B7" s="26">
        <v>43831</v>
      </c>
      <c r="C7" s="24">
        <v>11962.1</v>
      </c>
      <c r="D7" s="8"/>
      <c r="F7" s="23">
        <v>43831</v>
      </c>
      <c r="G7" s="40">
        <v>590.79999999999995</v>
      </c>
      <c r="H7" s="8"/>
      <c r="J7" t="s">
        <v>68</v>
      </c>
      <c r="K7">
        <v>0.75</v>
      </c>
      <c r="O7" s="36" t="s">
        <v>39</v>
      </c>
      <c r="P7" s="37">
        <f>SLOPE(H8:H66,BetaT!D8:D66)</f>
        <v>1.0840801161882097</v>
      </c>
    </row>
    <row r="8" spans="2:16">
      <c r="B8" s="26">
        <v>43862</v>
      </c>
      <c r="C8" s="24">
        <v>11201.75</v>
      </c>
      <c r="D8" s="8">
        <f t="shared" ref="D8:D39" si="0">(C8-C7)/C7</f>
        <v>-6.3563253943705558E-2</v>
      </c>
      <c r="F8" s="23">
        <v>43862</v>
      </c>
      <c r="G8" s="40">
        <v>737.2</v>
      </c>
      <c r="H8" s="8">
        <f>(G8-G7)/G7</f>
        <v>0.24779959377115793</v>
      </c>
      <c r="O8" s="38" t="s">
        <v>13</v>
      </c>
      <c r="P8" s="39">
        <f>M43</f>
        <v>1.0840801161882092</v>
      </c>
    </row>
    <row r="9" spans="2:16">
      <c r="B9" s="26">
        <v>43891</v>
      </c>
      <c r="C9" s="24">
        <v>8597.75</v>
      </c>
      <c r="D9" s="8">
        <f t="shared" si="0"/>
        <v>-0.23246367755038275</v>
      </c>
      <c r="F9" s="23">
        <v>43891</v>
      </c>
      <c r="G9" s="40">
        <v>484.35</v>
      </c>
      <c r="H9" s="8">
        <f t="shared" ref="H9:H66" si="1">(G9-G8)/G8</f>
        <v>-0.34298697775366249</v>
      </c>
      <c r="J9" t="s">
        <v>69</v>
      </c>
      <c r="K9">
        <v>1</v>
      </c>
    </row>
    <row r="10" spans="2:16">
      <c r="B10" s="26">
        <v>43922</v>
      </c>
      <c r="C10" s="24">
        <v>9859.9</v>
      </c>
      <c r="D10" s="8">
        <f t="shared" si="0"/>
        <v>0.14680003489284982</v>
      </c>
      <c r="F10" s="23">
        <v>43922</v>
      </c>
      <c r="G10" s="40">
        <v>505</v>
      </c>
      <c r="H10" s="8">
        <f t="shared" si="1"/>
        <v>4.2634458552699442E-2</v>
      </c>
      <c r="J10" t="s">
        <v>70</v>
      </c>
      <c r="K10">
        <v>0.25</v>
      </c>
    </row>
    <row r="11" spans="2:16">
      <c r="B11" s="26">
        <v>43952</v>
      </c>
      <c r="C11" s="24">
        <v>9580.2999999999993</v>
      </c>
      <c r="D11" s="8">
        <f t="shared" si="0"/>
        <v>-2.8357285570847612E-2</v>
      </c>
      <c r="F11" s="23">
        <v>43952</v>
      </c>
      <c r="G11" s="40">
        <v>468.85</v>
      </c>
      <c r="H11" s="8">
        <f t="shared" si="1"/>
        <v>-7.1584158415841537E-2</v>
      </c>
    </row>
    <row r="12" spans="2:16">
      <c r="B12" s="26">
        <v>43983</v>
      </c>
      <c r="C12" s="24">
        <v>10302.1</v>
      </c>
      <c r="D12" s="8">
        <f t="shared" si="0"/>
        <v>7.5342108284709372E-2</v>
      </c>
      <c r="F12" s="23">
        <v>43983</v>
      </c>
      <c r="G12" s="40">
        <v>615.29999999999995</v>
      </c>
      <c r="H12" s="8">
        <f t="shared" si="1"/>
        <v>0.31236002986029632</v>
      </c>
    </row>
    <row r="13" spans="2:16">
      <c r="B13" s="26">
        <v>44013</v>
      </c>
      <c r="C13" s="24">
        <v>11073.45</v>
      </c>
      <c r="D13" s="8">
        <f t="shared" si="0"/>
        <v>7.4873084128478692E-2</v>
      </c>
      <c r="F13" s="23">
        <v>44013</v>
      </c>
      <c r="G13" s="40">
        <v>558.1</v>
      </c>
      <c r="H13" s="8">
        <f t="shared" si="1"/>
        <v>-9.2962782382577505E-2</v>
      </c>
      <c r="J13" s="36" t="s">
        <v>71</v>
      </c>
      <c r="K13" s="37">
        <f>(K6*K7)+(K9*K10)</f>
        <v>1.0630600871411573</v>
      </c>
    </row>
    <row r="14" spans="2:16">
      <c r="B14" s="26">
        <v>44044</v>
      </c>
      <c r="C14" s="24">
        <v>11387.5</v>
      </c>
      <c r="D14" s="8">
        <f t="shared" si="0"/>
        <v>2.8360628349791552E-2</v>
      </c>
      <c r="F14" s="23">
        <v>44044</v>
      </c>
      <c r="G14" s="40">
        <v>639.20000000000005</v>
      </c>
      <c r="H14" s="8">
        <f t="shared" si="1"/>
        <v>0.14531445977423404</v>
      </c>
    </row>
    <row r="15" spans="2:16">
      <c r="B15" s="26">
        <v>44075</v>
      </c>
      <c r="C15" s="24">
        <v>11247.55</v>
      </c>
      <c r="D15" s="8">
        <f t="shared" si="0"/>
        <v>-1.2289791437980306E-2</v>
      </c>
      <c r="F15" s="23">
        <v>44075</v>
      </c>
      <c r="G15" s="40">
        <v>671.9</v>
      </c>
      <c r="H15" s="8">
        <f t="shared" si="1"/>
        <v>5.1157697121401641E-2</v>
      </c>
    </row>
    <row r="16" spans="2:16">
      <c r="B16" s="26">
        <v>44105</v>
      </c>
      <c r="C16" s="24">
        <v>11642.4</v>
      </c>
      <c r="D16" s="8">
        <f t="shared" si="0"/>
        <v>3.5105422958777721E-2</v>
      </c>
      <c r="F16" s="23">
        <v>44105</v>
      </c>
      <c r="G16" s="40">
        <v>659.55</v>
      </c>
      <c r="H16" s="8">
        <f t="shared" si="1"/>
        <v>-1.8380711415389231E-2</v>
      </c>
    </row>
    <row r="17" spans="2:13">
      <c r="B17" s="26">
        <v>44136</v>
      </c>
      <c r="C17" s="24">
        <v>12968.95</v>
      </c>
      <c r="D17" s="8">
        <f t="shared" si="0"/>
        <v>0.11394128358414082</v>
      </c>
      <c r="F17" s="23">
        <v>44136</v>
      </c>
      <c r="G17" s="40">
        <v>720.3</v>
      </c>
      <c r="H17" s="8">
        <f t="shared" si="1"/>
        <v>9.2108255628837857E-2</v>
      </c>
    </row>
    <row r="18" spans="2:13">
      <c r="B18" s="26">
        <v>44166</v>
      </c>
      <c r="C18" s="24">
        <v>13981.75</v>
      </c>
      <c r="D18" s="8">
        <f t="shared" si="0"/>
        <v>7.8094217342190325E-2</v>
      </c>
      <c r="F18" s="23">
        <v>44166</v>
      </c>
      <c r="G18" s="40">
        <v>687.6</v>
      </c>
      <c r="H18" s="8">
        <f t="shared" si="1"/>
        <v>-4.5397750937109446E-2</v>
      </c>
    </row>
    <row r="19" spans="2:13">
      <c r="B19" s="26">
        <v>44197</v>
      </c>
      <c r="C19" s="24">
        <v>13634.6</v>
      </c>
      <c r="D19" s="8">
        <f t="shared" si="0"/>
        <v>-2.4828794678777667E-2</v>
      </c>
      <c r="F19" s="23">
        <v>44197</v>
      </c>
      <c r="G19" s="40">
        <v>621.54999999999995</v>
      </c>
      <c r="H19" s="8">
        <f t="shared" si="1"/>
        <v>-9.6058755090168799E-2</v>
      </c>
    </row>
    <row r="20" spans="2:13">
      <c r="B20" s="26">
        <v>44228</v>
      </c>
      <c r="C20" s="24">
        <v>14529.15</v>
      </c>
      <c r="D20" s="8">
        <f t="shared" si="0"/>
        <v>6.5608818740557059E-2</v>
      </c>
      <c r="F20" s="23">
        <v>44228</v>
      </c>
      <c r="G20" s="40">
        <v>808.65</v>
      </c>
      <c r="H20" s="8">
        <f t="shared" si="1"/>
        <v>0.30102163944976273</v>
      </c>
    </row>
    <row r="21" spans="2:13">
      <c r="B21" s="26">
        <v>44256</v>
      </c>
      <c r="C21" s="24">
        <v>14690.7</v>
      </c>
      <c r="D21" s="8">
        <f t="shared" si="0"/>
        <v>1.1119026233468655E-2</v>
      </c>
      <c r="F21" s="23">
        <v>44256</v>
      </c>
      <c r="G21" s="40">
        <v>751.05</v>
      </c>
      <c r="H21" s="8">
        <f t="shared" si="1"/>
        <v>-7.1229827490261577E-2</v>
      </c>
    </row>
    <row r="22" spans="2:13">
      <c r="B22" s="26">
        <v>44287</v>
      </c>
      <c r="C22" s="24">
        <v>14631.1</v>
      </c>
      <c r="D22" s="8">
        <f t="shared" si="0"/>
        <v>-4.056988434860174E-3</v>
      </c>
      <c r="F22" s="23">
        <v>44287</v>
      </c>
      <c r="G22" s="40">
        <v>776.7</v>
      </c>
      <c r="H22" s="8">
        <f t="shared" si="1"/>
        <v>3.4152186938286519E-2</v>
      </c>
    </row>
    <row r="23" spans="2:13">
      <c r="B23" s="26">
        <v>44317</v>
      </c>
      <c r="C23" s="24">
        <v>15582.8</v>
      </c>
      <c r="D23" s="8">
        <f t="shared" si="0"/>
        <v>6.5046373820150147E-2</v>
      </c>
      <c r="F23" s="23">
        <v>44317</v>
      </c>
      <c r="G23" s="40">
        <v>851.65</v>
      </c>
      <c r="H23" s="8">
        <f t="shared" si="1"/>
        <v>9.6498004377494437E-2</v>
      </c>
    </row>
    <row r="24" spans="2:13">
      <c r="B24" s="26">
        <v>44348</v>
      </c>
      <c r="C24" s="24">
        <v>15721.5</v>
      </c>
      <c r="D24" s="8">
        <f t="shared" si="0"/>
        <v>8.9008393870165011E-3</v>
      </c>
      <c r="F24" s="23">
        <v>44348</v>
      </c>
      <c r="G24" s="40">
        <v>849.85</v>
      </c>
      <c r="H24" s="8">
        <f t="shared" si="1"/>
        <v>-2.1135442963658249E-3</v>
      </c>
    </row>
    <row r="25" spans="2:13">
      <c r="B25" s="26">
        <v>44378</v>
      </c>
      <c r="C25" s="24">
        <v>15763.05</v>
      </c>
      <c r="D25" s="8">
        <f t="shared" si="0"/>
        <v>2.6428775880163644E-3</v>
      </c>
      <c r="F25" s="23">
        <v>44378</v>
      </c>
      <c r="G25" s="40">
        <v>922.9</v>
      </c>
      <c r="H25" s="8">
        <f t="shared" si="1"/>
        <v>8.5956345237394774E-2</v>
      </c>
    </row>
    <row r="26" spans="2:13">
      <c r="B26" s="26">
        <v>44409</v>
      </c>
      <c r="C26" s="24">
        <v>17132.2</v>
      </c>
      <c r="D26" s="8">
        <f t="shared" si="0"/>
        <v>8.6858190515160555E-2</v>
      </c>
      <c r="F26" s="23">
        <v>44409</v>
      </c>
      <c r="G26" s="40">
        <v>1006.9</v>
      </c>
      <c r="H26" s="8">
        <f t="shared" si="1"/>
        <v>9.1017445010293643E-2</v>
      </c>
      <c r="L26" t="s">
        <v>41</v>
      </c>
    </row>
    <row r="27" spans="2:13" ht="15.75" thickBot="1">
      <c r="B27" s="26">
        <v>44440</v>
      </c>
      <c r="C27" s="24">
        <v>17618.150000000001</v>
      </c>
      <c r="D27" s="8">
        <f t="shared" si="0"/>
        <v>2.8364716732235246E-2</v>
      </c>
      <c r="F27" s="23">
        <v>44440</v>
      </c>
      <c r="G27" s="40">
        <v>1025.8499999999999</v>
      </c>
      <c r="H27" s="8">
        <f t="shared" si="1"/>
        <v>1.8820141026914223E-2</v>
      </c>
    </row>
    <row r="28" spans="2:13">
      <c r="B28" s="26">
        <v>44470</v>
      </c>
      <c r="C28" s="24">
        <v>17671.650000000001</v>
      </c>
      <c r="D28" s="8">
        <f t="shared" si="0"/>
        <v>3.0366411910444624E-3</v>
      </c>
      <c r="F28" s="23">
        <v>44470</v>
      </c>
      <c r="G28" s="40">
        <v>1003.15</v>
      </c>
      <c r="H28" s="8">
        <f t="shared" si="1"/>
        <v>-2.2127991421747754E-2</v>
      </c>
      <c r="L28" s="35" t="s">
        <v>42</v>
      </c>
      <c r="M28" s="35"/>
    </row>
    <row r="29" spans="2:13">
      <c r="B29" s="26">
        <v>44501</v>
      </c>
      <c r="C29" s="24">
        <v>16983.2</v>
      </c>
      <c r="D29" s="8">
        <f t="shared" si="0"/>
        <v>-3.8957878862471852E-2</v>
      </c>
      <c r="F29" s="23">
        <v>44501</v>
      </c>
      <c r="G29" s="40">
        <v>1014.4</v>
      </c>
      <c r="H29" s="8">
        <f t="shared" si="1"/>
        <v>1.1214673777600558E-2</v>
      </c>
      <c r="L29" s="32" t="s">
        <v>43</v>
      </c>
      <c r="M29" s="32">
        <v>0.50565703447387489</v>
      </c>
    </row>
    <row r="30" spans="2:13">
      <c r="B30" s="26">
        <v>44531</v>
      </c>
      <c r="C30" s="24">
        <v>17354.05</v>
      </c>
      <c r="D30" s="8">
        <f t="shared" si="0"/>
        <v>2.1836285270149237E-2</v>
      </c>
      <c r="F30" s="23">
        <v>44531</v>
      </c>
      <c r="G30" s="40">
        <v>1065</v>
      </c>
      <c r="H30" s="8">
        <f t="shared" si="1"/>
        <v>4.9881703470031569E-2</v>
      </c>
      <c r="L30" s="32" t="s">
        <v>44</v>
      </c>
      <c r="M30" s="32">
        <v>0.25568903651291347</v>
      </c>
    </row>
    <row r="31" spans="2:13">
      <c r="B31" s="26">
        <v>44562</v>
      </c>
      <c r="C31" s="24">
        <v>17339.849999999999</v>
      </c>
      <c r="D31" s="8">
        <f t="shared" si="0"/>
        <v>-8.1825279977876795E-4</v>
      </c>
      <c r="F31" s="23">
        <v>44562</v>
      </c>
      <c r="G31" s="40">
        <v>1031.55</v>
      </c>
      <c r="H31" s="8">
        <f t="shared" si="1"/>
        <v>-3.1408450704225398E-2</v>
      </c>
      <c r="L31" s="32" t="s">
        <v>45</v>
      </c>
      <c r="M31" s="32">
        <v>0.24263094943419264</v>
      </c>
    </row>
    <row r="32" spans="2:13">
      <c r="B32" s="26">
        <v>44593</v>
      </c>
      <c r="C32" s="24">
        <v>16793.900000000001</v>
      </c>
      <c r="D32" s="8">
        <f t="shared" si="0"/>
        <v>-3.1485278131010194E-2</v>
      </c>
      <c r="F32" s="23">
        <v>44593</v>
      </c>
      <c r="G32" s="40">
        <v>1108.0999999999999</v>
      </c>
      <c r="H32" s="8">
        <f t="shared" si="1"/>
        <v>7.4208715040473036E-2</v>
      </c>
      <c r="L32" s="32" t="s">
        <v>46</v>
      </c>
      <c r="M32" s="32">
        <v>0.10154058229830611</v>
      </c>
    </row>
    <row r="33" spans="2:20" ht="15.75" thickBot="1">
      <c r="B33" s="26">
        <v>44621</v>
      </c>
      <c r="C33" s="24">
        <v>17464.75</v>
      </c>
      <c r="D33" s="8">
        <f t="shared" si="0"/>
        <v>3.9946051840251427E-2</v>
      </c>
      <c r="F33" s="23">
        <v>44621</v>
      </c>
      <c r="G33" s="40">
        <v>1275.5</v>
      </c>
      <c r="H33" s="8">
        <f t="shared" si="1"/>
        <v>0.15106939806876646</v>
      </c>
      <c r="L33" s="33" t="s">
        <v>47</v>
      </c>
      <c r="M33" s="33">
        <v>59</v>
      </c>
    </row>
    <row r="34" spans="2:20">
      <c r="B34" s="26">
        <v>44652</v>
      </c>
      <c r="C34" s="24">
        <v>17102.55</v>
      </c>
      <c r="D34" s="8">
        <f t="shared" si="0"/>
        <v>-2.0738916961307818E-2</v>
      </c>
      <c r="F34" s="23">
        <v>44652</v>
      </c>
      <c r="G34" s="40">
        <v>1228.4000000000001</v>
      </c>
      <c r="H34" s="8">
        <f t="shared" si="1"/>
        <v>-3.6926695413563235E-2</v>
      </c>
    </row>
    <row r="35" spans="2:20" ht="15.75" thickBot="1">
      <c r="B35" s="26">
        <v>44682</v>
      </c>
      <c r="C35" s="24">
        <v>16584.55</v>
      </c>
      <c r="D35" s="8">
        <f t="shared" si="0"/>
        <v>-3.0287881046978375E-2</v>
      </c>
      <c r="F35" s="23">
        <v>44682</v>
      </c>
      <c r="G35" s="40">
        <v>1124.05</v>
      </c>
      <c r="H35" s="8">
        <f t="shared" si="1"/>
        <v>-8.4947899706935961E-2</v>
      </c>
      <c r="L35" t="s">
        <v>48</v>
      </c>
    </row>
    <row r="36" spans="2:20">
      <c r="B36" s="26">
        <v>44713</v>
      </c>
      <c r="C36" s="24">
        <v>15780.25</v>
      </c>
      <c r="D36" s="8">
        <f t="shared" si="0"/>
        <v>-4.849694444528186E-2</v>
      </c>
      <c r="F36" s="23">
        <v>44713</v>
      </c>
      <c r="G36" s="40">
        <v>1074.1500000000001</v>
      </c>
      <c r="H36" s="8">
        <f t="shared" si="1"/>
        <v>-4.4393043014100679E-2</v>
      </c>
      <c r="L36" s="34"/>
      <c r="M36" s="34" t="s">
        <v>53</v>
      </c>
      <c r="N36" s="34" t="s">
        <v>54</v>
      </c>
      <c r="O36" s="34" t="s">
        <v>55</v>
      </c>
      <c r="P36" s="34" t="s">
        <v>56</v>
      </c>
      <c r="Q36" s="34" t="s">
        <v>57</v>
      </c>
    </row>
    <row r="37" spans="2:20">
      <c r="B37" s="26">
        <v>44743</v>
      </c>
      <c r="C37" s="24">
        <v>17158.25</v>
      </c>
      <c r="D37" s="8">
        <f t="shared" si="0"/>
        <v>8.7324345305049039E-2</v>
      </c>
      <c r="F37" s="23">
        <v>44743</v>
      </c>
      <c r="G37" s="40">
        <v>1268.5999999999999</v>
      </c>
      <c r="H37" s="8">
        <f t="shared" si="1"/>
        <v>0.18102685844621311</v>
      </c>
      <c r="L37" s="32" t="s">
        <v>49</v>
      </c>
      <c r="M37" s="32">
        <v>1</v>
      </c>
      <c r="N37" s="32">
        <v>0.20188862279133213</v>
      </c>
      <c r="O37" s="32">
        <v>0.20188862279133213</v>
      </c>
      <c r="P37" s="32">
        <v>19.580895346423208</v>
      </c>
      <c r="Q37" s="32">
        <v>4.4046571374609062E-5</v>
      </c>
    </row>
    <row r="38" spans="2:20">
      <c r="B38" s="26">
        <v>44774</v>
      </c>
      <c r="C38" s="24">
        <v>17759.3</v>
      </c>
      <c r="D38" s="8">
        <f t="shared" si="0"/>
        <v>3.5029796162195988E-2</v>
      </c>
      <c r="F38" s="23">
        <v>44774</v>
      </c>
      <c r="G38" s="40">
        <v>1407.25</v>
      </c>
      <c r="H38" s="8">
        <f t="shared" si="1"/>
        <v>0.10929370960113519</v>
      </c>
      <c r="L38" s="32" t="s">
        <v>50</v>
      </c>
      <c r="M38" s="32">
        <v>57</v>
      </c>
      <c r="N38" s="32">
        <v>0.58769792164830725</v>
      </c>
      <c r="O38" s="32">
        <v>1.0310489853479075E-2</v>
      </c>
      <c r="P38" s="32"/>
      <c r="Q38" s="32"/>
    </row>
    <row r="39" spans="2:20" ht="15.75" thickBot="1">
      <c r="B39" s="26">
        <v>44805</v>
      </c>
      <c r="C39" s="24">
        <v>17094.349999999999</v>
      </c>
      <c r="D39" s="8">
        <f t="shared" si="0"/>
        <v>-3.7442354146841418E-2</v>
      </c>
      <c r="F39" s="23">
        <v>44805</v>
      </c>
      <c r="G39" s="40">
        <v>1420</v>
      </c>
      <c r="H39" s="8">
        <f t="shared" si="1"/>
        <v>9.0602238408243035E-3</v>
      </c>
      <c r="L39" s="33" t="s">
        <v>51</v>
      </c>
      <c r="M39" s="33">
        <v>58</v>
      </c>
      <c r="N39" s="33">
        <v>0.78958654443963938</v>
      </c>
      <c r="O39" s="33"/>
      <c r="P39" s="33"/>
      <c r="Q39" s="33"/>
    </row>
    <row r="40" spans="2:20" ht="15.75" thickBot="1">
      <c r="B40" s="26">
        <v>44835</v>
      </c>
      <c r="C40" s="24">
        <v>18012.2</v>
      </c>
      <c r="D40" s="8">
        <f t="shared" ref="D40:D66" si="2">(C40-C39)/C39</f>
        <v>5.3693179325332768E-2</v>
      </c>
      <c r="F40" s="23">
        <v>44835</v>
      </c>
      <c r="G40" s="40">
        <v>1527.9</v>
      </c>
      <c r="H40" s="8">
        <f t="shared" si="1"/>
        <v>7.5985915492957815E-2</v>
      </c>
    </row>
    <row r="41" spans="2:20">
      <c r="B41" s="26">
        <v>44866</v>
      </c>
      <c r="C41" s="24">
        <v>18758.349999999999</v>
      </c>
      <c r="D41" s="8">
        <f t="shared" si="2"/>
        <v>4.1424701035964392E-2</v>
      </c>
      <c r="F41" s="23">
        <v>44866</v>
      </c>
      <c r="G41" s="40">
        <v>1471.65</v>
      </c>
      <c r="H41" s="8">
        <f t="shared" si="1"/>
        <v>-3.6815236599253877E-2</v>
      </c>
      <c r="L41" s="34"/>
      <c r="M41" s="34" t="s">
        <v>58</v>
      </c>
      <c r="N41" s="34" t="s">
        <v>46</v>
      </c>
      <c r="O41" s="34" t="s">
        <v>59</v>
      </c>
      <c r="P41" s="34" t="s">
        <v>60</v>
      </c>
      <c r="Q41" s="34" t="s">
        <v>61</v>
      </c>
      <c r="R41" s="34" t="s">
        <v>62</v>
      </c>
      <c r="S41" s="34" t="s">
        <v>63</v>
      </c>
      <c r="T41" s="34" t="s">
        <v>64</v>
      </c>
    </row>
    <row r="42" spans="2:20">
      <c r="B42" s="26">
        <v>44896</v>
      </c>
      <c r="C42" s="24">
        <v>18105.3</v>
      </c>
      <c r="D42" s="8">
        <f t="shared" si="2"/>
        <v>-3.4813829574562756E-2</v>
      </c>
      <c r="F42" s="23">
        <v>44896</v>
      </c>
      <c r="G42" s="40">
        <v>1351.35</v>
      </c>
      <c r="H42" s="8">
        <f t="shared" si="1"/>
        <v>-8.1744980124350344E-2</v>
      </c>
      <c r="L42" s="32" t="s">
        <v>52</v>
      </c>
      <c r="M42" s="32">
        <v>3.4056892766996201E-2</v>
      </c>
      <c r="N42" s="32">
        <v>1.3646623162102516E-2</v>
      </c>
      <c r="O42" s="32">
        <v>2.4956278459842154</v>
      </c>
      <c r="P42" s="32">
        <v>1.5491950863425965E-2</v>
      </c>
      <c r="Q42" s="32">
        <v>6.7300014588988211E-3</v>
      </c>
      <c r="R42" s="32">
        <v>6.1383784075093581E-2</v>
      </c>
      <c r="S42" s="32">
        <v>6.7300014588988211E-3</v>
      </c>
      <c r="T42" s="32">
        <v>6.1383784075093581E-2</v>
      </c>
    </row>
    <row r="43" spans="2:20" ht="15.75" thickBot="1">
      <c r="B43" s="26">
        <v>44927</v>
      </c>
      <c r="C43" s="24">
        <v>17662.150000000001</v>
      </c>
      <c r="D43" s="8">
        <f t="shared" si="2"/>
        <v>-2.4476258333195132E-2</v>
      </c>
      <c r="F43" s="23">
        <v>44927</v>
      </c>
      <c r="G43" s="40">
        <v>1196.5999999999999</v>
      </c>
      <c r="H43" s="8">
        <f t="shared" si="1"/>
        <v>-0.11451511451511452</v>
      </c>
      <c r="L43" s="33" t="s">
        <v>65</v>
      </c>
      <c r="M43" s="33">
        <v>1.0840801161882092</v>
      </c>
      <c r="N43" s="33">
        <v>0.24498816551616717</v>
      </c>
      <c r="O43" s="33">
        <v>4.4250305475129936</v>
      </c>
      <c r="P43" s="33">
        <v>4.4046571374610113E-5</v>
      </c>
      <c r="Q43" s="33">
        <v>0.59349978057652231</v>
      </c>
      <c r="R43" s="33">
        <v>1.5746604517998961</v>
      </c>
      <c r="S43" s="33">
        <v>0.59349978057652231</v>
      </c>
      <c r="T43" s="33">
        <v>1.5746604517998961</v>
      </c>
    </row>
    <row r="44" spans="2:20">
      <c r="B44" s="26">
        <v>44958</v>
      </c>
      <c r="C44" s="24">
        <v>17303.95</v>
      </c>
      <c r="D44" s="8">
        <f t="shared" si="2"/>
        <v>-2.0280656658447624E-2</v>
      </c>
      <c r="F44" s="23">
        <v>44958</v>
      </c>
      <c r="G44" s="40">
        <v>1278.1500000000001</v>
      </c>
      <c r="H44" s="8">
        <f t="shared" si="1"/>
        <v>6.8151429048972242E-2</v>
      </c>
    </row>
    <row r="45" spans="2:20">
      <c r="B45" s="26">
        <v>44986</v>
      </c>
      <c r="C45" s="24">
        <v>17359.75</v>
      </c>
      <c r="D45" s="8">
        <f t="shared" si="2"/>
        <v>3.2246972512056074E-3</v>
      </c>
      <c r="F45" s="23">
        <v>44986</v>
      </c>
      <c r="G45" s="40">
        <v>1374.95</v>
      </c>
      <c r="H45" s="8">
        <f t="shared" si="1"/>
        <v>7.5734459961663295E-2</v>
      </c>
    </row>
    <row r="46" spans="2:20">
      <c r="B46" s="26">
        <v>45017</v>
      </c>
      <c r="C46" s="24">
        <v>18065</v>
      </c>
      <c r="D46" s="8">
        <f t="shared" si="2"/>
        <v>4.0625585045867593E-2</v>
      </c>
      <c r="F46" s="23">
        <v>45017</v>
      </c>
      <c r="G46" s="40">
        <v>1367.75</v>
      </c>
      <c r="H46" s="8">
        <f t="shared" si="1"/>
        <v>-5.2365540565111786E-3</v>
      </c>
    </row>
    <row r="47" spans="2:20">
      <c r="B47" s="26">
        <v>45047</v>
      </c>
      <c r="C47" s="24">
        <v>18534.400000000001</v>
      </c>
      <c r="D47" s="8">
        <f t="shared" si="2"/>
        <v>2.5983946858566368E-2</v>
      </c>
      <c r="F47" s="23">
        <v>45047</v>
      </c>
      <c r="G47" s="40">
        <v>1560.45</v>
      </c>
      <c r="H47" s="8">
        <f t="shared" si="1"/>
        <v>0.14088832023396092</v>
      </c>
    </row>
    <row r="48" spans="2:20">
      <c r="B48" s="26">
        <v>45078</v>
      </c>
      <c r="C48" s="24">
        <v>19189.05</v>
      </c>
      <c r="D48" s="8">
        <f t="shared" si="2"/>
        <v>3.5320808874309273E-2</v>
      </c>
      <c r="F48" s="23">
        <v>45078</v>
      </c>
      <c r="G48" s="40">
        <v>1764.15</v>
      </c>
      <c r="H48" s="8">
        <f t="shared" si="1"/>
        <v>0.13053926751898492</v>
      </c>
    </row>
    <row r="49" spans="2:8">
      <c r="B49" s="26">
        <v>45108</v>
      </c>
      <c r="C49" s="24">
        <v>19753.8</v>
      </c>
      <c r="D49" s="8">
        <f t="shared" si="2"/>
        <v>2.9430847280089427E-2</v>
      </c>
      <c r="F49" s="23">
        <v>45108</v>
      </c>
      <c r="G49" s="40">
        <v>1757.1</v>
      </c>
      <c r="H49" s="8">
        <f t="shared" si="1"/>
        <v>-3.9962588215288848E-3</v>
      </c>
    </row>
    <row r="50" spans="2:8">
      <c r="B50" s="26">
        <v>45139</v>
      </c>
      <c r="C50" s="24">
        <v>19253.8</v>
      </c>
      <c r="D50" s="8">
        <f t="shared" si="2"/>
        <v>-2.5311585618969516E-2</v>
      </c>
      <c r="F50" s="23">
        <v>45139</v>
      </c>
      <c r="G50" s="40">
        <v>2048.6</v>
      </c>
      <c r="H50" s="8">
        <f t="shared" si="1"/>
        <v>0.16589835524443686</v>
      </c>
    </row>
    <row r="51" spans="2:8">
      <c r="B51" s="26">
        <v>45170</v>
      </c>
      <c r="C51" s="24">
        <v>19638.3</v>
      </c>
      <c r="D51" s="8">
        <f t="shared" si="2"/>
        <v>1.9970083827608058E-2</v>
      </c>
      <c r="F51" s="23">
        <v>45170</v>
      </c>
      <c r="G51" s="40">
        <v>2080.15</v>
      </c>
      <c r="H51" s="8">
        <f t="shared" si="1"/>
        <v>1.540076149565566E-2</v>
      </c>
    </row>
    <row r="52" spans="2:8">
      <c r="B52" s="26">
        <v>45200</v>
      </c>
      <c r="C52" s="24">
        <v>19079.599999999999</v>
      </c>
      <c r="D52" s="8">
        <f t="shared" si="2"/>
        <v>-2.8449509377084611E-2</v>
      </c>
      <c r="F52" s="23">
        <v>45200</v>
      </c>
      <c r="G52" s="40">
        <v>2154.6999999999998</v>
      </c>
      <c r="H52" s="8">
        <f t="shared" si="1"/>
        <v>3.5838761627767099E-2</v>
      </c>
    </row>
    <row r="53" spans="2:8">
      <c r="B53" s="26">
        <v>45231</v>
      </c>
      <c r="C53" s="24">
        <v>20133.150000000001</v>
      </c>
      <c r="D53" s="8">
        <f t="shared" si="2"/>
        <v>5.5218662865049742E-2</v>
      </c>
      <c r="F53" s="23">
        <v>45231</v>
      </c>
      <c r="G53" s="40">
        <v>2787</v>
      </c>
      <c r="H53" s="8">
        <f t="shared" si="1"/>
        <v>0.29345152457418677</v>
      </c>
    </row>
    <row r="54" spans="2:8">
      <c r="B54" s="26">
        <v>45261</v>
      </c>
      <c r="C54" s="24">
        <v>21731.4</v>
      </c>
      <c r="D54" s="8">
        <f t="shared" si="2"/>
        <v>7.9384001013254255E-2</v>
      </c>
      <c r="F54" s="23">
        <v>45261</v>
      </c>
      <c r="G54" s="40">
        <v>3054.95</v>
      </c>
      <c r="H54" s="8">
        <f t="shared" si="1"/>
        <v>9.6142805884463514E-2</v>
      </c>
    </row>
    <row r="55" spans="2:8">
      <c r="B55" s="26">
        <v>45292</v>
      </c>
      <c r="C55" s="24">
        <v>21725.7</v>
      </c>
      <c r="D55" s="8">
        <f t="shared" si="2"/>
        <v>-2.6229327148737439E-4</v>
      </c>
      <c r="F55" s="23">
        <v>45292</v>
      </c>
      <c r="G55" s="40">
        <v>3086.95</v>
      </c>
      <c r="H55" s="8">
        <f t="shared" si="1"/>
        <v>1.0474803188268222E-2</v>
      </c>
    </row>
    <row r="56" spans="2:8">
      <c r="B56" s="26">
        <v>45323</v>
      </c>
      <c r="C56" s="24">
        <v>21982.799999999999</v>
      </c>
      <c r="D56" s="8">
        <f t="shared" si="2"/>
        <v>1.1833910990209685E-2</v>
      </c>
      <c r="F56" s="23">
        <v>45323</v>
      </c>
      <c r="G56" s="40">
        <v>3881.8</v>
      </c>
      <c r="H56" s="8">
        <f t="shared" si="1"/>
        <v>0.25748716370527558</v>
      </c>
    </row>
    <row r="57" spans="2:8">
      <c r="B57" s="26">
        <v>45352</v>
      </c>
      <c r="C57" s="24">
        <v>22326.9</v>
      </c>
      <c r="D57" s="8">
        <f t="shared" si="2"/>
        <v>1.5653147005841032E-2</v>
      </c>
      <c r="F57" s="23">
        <v>45352</v>
      </c>
      <c r="G57" s="40">
        <v>3948</v>
      </c>
      <c r="H57" s="8">
        <f t="shared" si="1"/>
        <v>1.7053944046576282E-2</v>
      </c>
    </row>
    <row r="58" spans="2:8">
      <c r="B58" s="26">
        <v>45383</v>
      </c>
      <c r="C58" s="24">
        <v>22604.85</v>
      </c>
      <c r="D58" s="8">
        <f t="shared" si="2"/>
        <v>1.2449108474530592E-2</v>
      </c>
      <c r="F58" s="23">
        <v>45383</v>
      </c>
      <c r="G58" s="40">
        <v>4409.8999999999996</v>
      </c>
      <c r="H58" s="8">
        <f t="shared" si="1"/>
        <v>0.11699594731509616</v>
      </c>
    </row>
    <row r="59" spans="2:8">
      <c r="B59" s="26">
        <v>45413</v>
      </c>
      <c r="C59" s="24">
        <v>22530.7</v>
      </c>
      <c r="D59" s="8">
        <f t="shared" si="2"/>
        <v>-3.2802694996869179E-3</v>
      </c>
      <c r="F59" s="23">
        <v>45413</v>
      </c>
      <c r="G59" s="40">
        <v>4559.1499999999996</v>
      </c>
      <c r="H59" s="8">
        <f t="shared" si="1"/>
        <v>3.3844304859520627E-2</v>
      </c>
    </row>
    <row r="60" spans="2:8">
      <c r="B60" s="26">
        <v>45444</v>
      </c>
      <c r="C60" s="24">
        <v>24010.6</v>
      </c>
      <c r="D60" s="8">
        <f t="shared" si="2"/>
        <v>6.5683711558007424E-2</v>
      </c>
      <c r="F60" s="23">
        <v>45444</v>
      </c>
      <c r="G60" s="40">
        <v>5479.85</v>
      </c>
      <c r="H60" s="8">
        <f t="shared" si="1"/>
        <v>0.20194553809372379</v>
      </c>
    </row>
    <row r="61" spans="2:8">
      <c r="B61" s="26">
        <v>45474</v>
      </c>
      <c r="C61" s="24">
        <v>24951.15</v>
      </c>
      <c r="D61" s="8">
        <f t="shared" si="2"/>
        <v>3.9172282242009901E-2</v>
      </c>
      <c r="F61" s="23">
        <v>45474</v>
      </c>
      <c r="G61" s="40">
        <v>5839</v>
      </c>
      <c r="H61" s="8">
        <f t="shared" si="1"/>
        <v>6.5540115149137226E-2</v>
      </c>
    </row>
    <row r="62" spans="2:8">
      <c r="B62" s="26">
        <v>45505</v>
      </c>
      <c r="C62" s="24">
        <v>25235.9</v>
      </c>
      <c r="D62" s="8">
        <f t="shared" si="2"/>
        <v>1.1412299633483827E-2</v>
      </c>
      <c r="F62" s="23">
        <v>45505</v>
      </c>
      <c r="G62" s="40">
        <v>7158.75</v>
      </c>
      <c r="H62" s="8">
        <f t="shared" si="1"/>
        <v>0.22602329165953075</v>
      </c>
    </row>
    <row r="63" spans="2:8">
      <c r="B63" s="26">
        <v>45536</v>
      </c>
      <c r="C63" s="24">
        <v>25810.85</v>
      </c>
      <c r="D63" s="8">
        <f t="shared" si="2"/>
        <v>2.2783019428670944E-2</v>
      </c>
      <c r="F63" s="23">
        <v>45536</v>
      </c>
      <c r="G63" s="40">
        <v>7574.65</v>
      </c>
      <c r="H63" s="8">
        <f t="shared" si="1"/>
        <v>5.8096734765147498E-2</v>
      </c>
    </row>
    <row r="64" spans="2:8">
      <c r="B64" s="26">
        <v>45566</v>
      </c>
      <c r="C64" s="24">
        <v>24205.35</v>
      </c>
      <c r="D64" s="8">
        <f t="shared" si="2"/>
        <v>-6.2202523357425273E-2</v>
      </c>
      <c r="F64" s="23">
        <v>45566</v>
      </c>
      <c r="G64" s="40">
        <v>7128.35</v>
      </c>
      <c r="H64" s="8">
        <f t="shared" si="1"/>
        <v>-5.8920214135306487E-2</v>
      </c>
    </row>
    <row r="65" spans="2:8">
      <c r="B65" s="26">
        <v>45597</v>
      </c>
      <c r="C65" s="24">
        <v>24131.1</v>
      </c>
      <c r="D65" s="8">
        <f t="shared" si="2"/>
        <v>-3.0675036717089407E-3</v>
      </c>
      <c r="F65" s="23">
        <v>45597</v>
      </c>
      <c r="G65" s="40">
        <v>6795.4</v>
      </c>
      <c r="H65" s="8">
        <f t="shared" si="1"/>
        <v>-4.6707863671116137E-2</v>
      </c>
    </row>
    <row r="66" spans="2:8">
      <c r="B66" s="26">
        <v>45627</v>
      </c>
      <c r="C66" s="24">
        <v>24620.5</v>
      </c>
      <c r="D66" s="8">
        <f t="shared" si="2"/>
        <v>2.0280882346847075E-2</v>
      </c>
      <c r="F66" s="23">
        <v>45627</v>
      </c>
      <c r="G66" s="40">
        <v>6878.05</v>
      </c>
      <c r="H66" s="8">
        <f t="shared" si="1"/>
        <v>1.2162639432557399E-2</v>
      </c>
    </row>
  </sheetData>
  <mergeCells count="3">
    <mergeCell ref="F4:H4"/>
    <mergeCell ref="B4:D4"/>
    <mergeCell ref="J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2D050"/>
  </sheetPr>
  <dimension ref="B1:U66"/>
  <sheetViews>
    <sheetView tabSelected="1" topLeftCell="A43" workbookViewId="0">
      <selection activeCell="O4" sqref="O4"/>
    </sheetView>
  </sheetViews>
  <sheetFormatPr defaultRowHeight="15"/>
  <cols>
    <col min="1" max="1" width="1.85546875" customWidth="1"/>
    <col min="2" max="2" width="12.5703125" customWidth="1"/>
    <col min="3" max="3" width="11.5703125" customWidth="1"/>
    <col min="4" max="4" width="11.140625" customWidth="1"/>
    <col min="6" max="6" width="11.28515625" customWidth="1"/>
    <col min="7" max="7" width="11.7109375" customWidth="1"/>
    <col min="8" max="8" width="10.85546875" customWidth="1"/>
    <col min="10" max="10" width="16.85546875" customWidth="1"/>
  </cols>
  <sheetData>
    <row r="1" spans="2:15">
      <c r="L1" s="30"/>
    </row>
    <row r="2" spans="2:15">
      <c r="B2" s="31" t="s">
        <v>38</v>
      </c>
    </row>
    <row r="4" spans="2:15">
      <c r="B4" s="81" t="s">
        <v>37</v>
      </c>
      <c r="C4" s="81"/>
      <c r="D4" s="81"/>
      <c r="F4" s="81" t="s">
        <v>73</v>
      </c>
      <c r="G4" s="81"/>
      <c r="H4" s="81"/>
      <c r="J4" s="82" t="s">
        <v>66</v>
      </c>
      <c r="K4" s="82"/>
      <c r="N4" s="36" t="s">
        <v>39</v>
      </c>
      <c r="O4" s="37">
        <f>SLOPE(D8:D66,H8:H66)</f>
        <v>0.29706840131998452</v>
      </c>
    </row>
    <row r="5" spans="2:15">
      <c r="B5" s="25"/>
      <c r="F5" s="25"/>
      <c r="N5" s="38" t="s">
        <v>13</v>
      </c>
      <c r="O5" s="39">
        <f>N58</f>
        <v>0.29706840131998502</v>
      </c>
    </row>
    <row r="6" spans="2:15">
      <c r="B6" s="31" t="s">
        <v>35</v>
      </c>
      <c r="C6" s="29" t="s">
        <v>36</v>
      </c>
      <c r="D6" s="29" t="s">
        <v>40</v>
      </c>
      <c r="F6" s="31" t="s">
        <v>35</v>
      </c>
      <c r="G6" s="29" t="s">
        <v>36</v>
      </c>
      <c r="H6" s="29" t="s">
        <v>40</v>
      </c>
      <c r="J6" t="s">
        <v>67</v>
      </c>
      <c r="K6" s="10">
        <f>O4</f>
        <v>0.29706840131998452</v>
      </c>
    </row>
    <row r="7" spans="2:15">
      <c r="B7" s="26">
        <v>43831</v>
      </c>
      <c r="C7" s="28">
        <v>11962.1</v>
      </c>
      <c r="D7" s="30"/>
      <c r="F7" s="23">
        <v>43831</v>
      </c>
      <c r="G7" s="24">
        <v>2133.9499999999998</v>
      </c>
      <c r="H7" s="30"/>
      <c r="J7" t="s">
        <v>68</v>
      </c>
      <c r="K7">
        <v>0.75</v>
      </c>
    </row>
    <row r="8" spans="2:15">
      <c r="B8" s="26">
        <v>43862</v>
      </c>
      <c r="C8" s="28">
        <v>11201.75</v>
      </c>
      <c r="D8" s="30">
        <f t="shared" ref="D8:D39" si="0">(C8-C7)/C7</f>
        <v>-6.3563253943705558E-2</v>
      </c>
      <c r="F8" s="23">
        <v>43862</v>
      </c>
      <c r="G8" s="24">
        <v>2323.9499999999998</v>
      </c>
      <c r="H8" s="30">
        <f>(G8-G7)/G7</f>
        <v>8.9036762810750028E-2</v>
      </c>
    </row>
    <row r="9" spans="2:15">
      <c r="B9" s="26">
        <v>43891</v>
      </c>
      <c r="C9" s="28">
        <v>8597.75</v>
      </c>
      <c r="D9" s="30">
        <f t="shared" si="0"/>
        <v>-0.23246367755038275</v>
      </c>
      <c r="F9" s="23">
        <v>43891</v>
      </c>
      <c r="G9" s="24">
        <v>2187.5</v>
      </c>
      <c r="H9" s="30">
        <f t="shared" ref="H9:H66" si="1">(G9-G8)/G8</f>
        <v>-5.8714688353880176E-2</v>
      </c>
      <c r="J9" t="s">
        <v>69</v>
      </c>
      <c r="K9">
        <v>1</v>
      </c>
    </row>
    <row r="10" spans="2:15">
      <c r="B10" s="26">
        <v>43922</v>
      </c>
      <c r="C10" s="28">
        <v>9859.9</v>
      </c>
      <c r="D10" s="30">
        <f t="shared" si="0"/>
        <v>0.14680003489284982</v>
      </c>
      <c r="F10" s="23">
        <v>43922</v>
      </c>
      <c r="G10" s="24">
        <v>2383.65</v>
      </c>
      <c r="H10" s="30">
        <f t="shared" si="1"/>
        <v>8.9668571428571472E-2</v>
      </c>
      <c r="J10" t="s">
        <v>70</v>
      </c>
      <c r="K10">
        <v>0.25</v>
      </c>
    </row>
    <row r="11" spans="2:15">
      <c r="B11" s="26">
        <v>43952</v>
      </c>
      <c r="C11" s="28">
        <v>9580.2999999999993</v>
      </c>
      <c r="D11" s="30">
        <f t="shared" si="0"/>
        <v>-2.8357285570847612E-2</v>
      </c>
      <c r="F11" s="23">
        <v>43952</v>
      </c>
      <c r="G11" s="24">
        <v>2269.35</v>
      </c>
      <c r="H11" s="30">
        <f t="shared" si="1"/>
        <v>-4.7951670757032355E-2</v>
      </c>
    </row>
    <row r="12" spans="2:15">
      <c r="B12" s="26">
        <v>43983</v>
      </c>
      <c r="C12" s="28">
        <v>10302.1</v>
      </c>
      <c r="D12" s="30">
        <f t="shared" si="0"/>
        <v>7.5342108284709372E-2</v>
      </c>
      <c r="F12" s="23">
        <v>43983</v>
      </c>
      <c r="G12" s="24">
        <v>2317.15</v>
      </c>
      <c r="H12" s="30">
        <f t="shared" si="1"/>
        <v>2.1063300063895028E-2</v>
      </c>
    </row>
    <row r="13" spans="2:15">
      <c r="B13" s="26">
        <v>44013</v>
      </c>
      <c r="C13" s="28">
        <v>11073.45</v>
      </c>
      <c r="D13" s="30">
        <f t="shared" si="0"/>
        <v>7.4873084128478692E-2</v>
      </c>
      <c r="F13" s="23">
        <v>44013</v>
      </c>
      <c r="G13" s="24">
        <v>2063.4499999999998</v>
      </c>
      <c r="H13" s="30">
        <f t="shared" si="1"/>
        <v>-0.10948794855749532</v>
      </c>
      <c r="J13" t="s">
        <v>71</v>
      </c>
      <c r="K13" s="10">
        <f>K6*K7+K9*K10</f>
        <v>0.4728013009899884</v>
      </c>
    </row>
    <row r="14" spans="2:15">
      <c r="B14" s="26">
        <v>44044</v>
      </c>
      <c r="C14" s="28">
        <v>11387.5</v>
      </c>
      <c r="D14" s="30">
        <f t="shared" si="0"/>
        <v>2.8360628349791552E-2</v>
      </c>
      <c r="F14" s="23">
        <v>44044</v>
      </c>
      <c r="G14" s="24">
        <v>2251.25</v>
      </c>
      <c r="H14" s="30">
        <f t="shared" si="1"/>
        <v>9.101262448811466E-2</v>
      </c>
    </row>
    <row r="15" spans="2:15">
      <c r="B15" s="26">
        <v>44075</v>
      </c>
      <c r="C15" s="28">
        <v>11247.55</v>
      </c>
      <c r="D15" s="30">
        <f t="shared" si="0"/>
        <v>-1.2289791437980306E-2</v>
      </c>
      <c r="F15" s="23">
        <v>44075</v>
      </c>
      <c r="G15" s="24">
        <v>2203.15</v>
      </c>
      <c r="H15" s="30">
        <f t="shared" si="1"/>
        <v>-2.1365907828983857E-2</v>
      </c>
    </row>
    <row r="16" spans="2:15">
      <c r="B16" s="26">
        <v>44105</v>
      </c>
      <c r="C16" s="28">
        <v>11642.4</v>
      </c>
      <c r="D16" s="30">
        <f t="shared" si="0"/>
        <v>3.5105422958777721E-2</v>
      </c>
      <c r="F16" s="23">
        <v>44105</v>
      </c>
      <c r="G16" s="24">
        <v>2239.9</v>
      </c>
      <c r="H16" s="30">
        <f t="shared" si="1"/>
        <v>1.6680661779724486E-2</v>
      </c>
    </row>
    <row r="17" spans="2:8">
      <c r="B17" s="26">
        <v>44136</v>
      </c>
      <c r="C17" s="28">
        <v>12968.95</v>
      </c>
      <c r="D17" s="30">
        <f t="shared" si="0"/>
        <v>0.11394128358414082</v>
      </c>
      <c r="F17" s="23">
        <v>44136</v>
      </c>
      <c r="G17" s="24">
        <v>2289.1999999999998</v>
      </c>
      <c r="H17" s="30">
        <f t="shared" si="1"/>
        <v>2.2009911156747948E-2</v>
      </c>
    </row>
    <row r="18" spans="2:8">
      <c r="B18" s="26">
        <v>44166</v>
      </c>
      <c r="C18" s="28">
        <v>13981.75</v>
      </c>
      <c r="D18" s="30">
        <f t="shared" si="0"/>
        <v>7.8094217342190325E-2</v>
      </c>
      <c r="F18" s="23">
        <v>44166</v>
      </c>
      <c r="G18" s="24">
        <v>2763.6</v>
      </c>
      <c r="H18" s="30">
        <f t="shared" si="1"/>
        <v>0.20723396819849735</v>
      </c>
    </row>
    <row r="19" spans="2:8">
      <c r="B19" s="26">
        <v>44197</v>
      </c>
      <c r="C19" s="28">
        <v>13634.6</v>
      </c>
      <c r="D19" s="30">
        <f t="shared" si="0"/>
        <v>-2.4828794678777667E-2</v>
      </c>
      <c r="F19" s="23">
        <v>44197</v>
      </c>
      <c r="G19" s="24">
        <v>2651.5</v>
      </c>
      <c r="H19" s="30">
        <f t="shared" si="1"/>
        <v>-4.0563033724127916E-2</v>
      </c>
    </row>
    <row r="20" spans="2:8">
      <c r="B20" s="26">
        <v>44228</v>
      </c>
      <c r="C20" s="28">
        <v>14529.15</v>
      </c>
      <c r="D20" s="30">
        <f t="shared" si="0"/>
        <v>6.5608818740557059E-2</v>
      </c>
      <c r="F20" s="23">
        <v>44228</v>
      </c>
      <c r="G20" s="24">
        <v>2994.2</v>
      </c>
      <c r="H20" s="30">
        <f t="shared" si="1"/>
        <v>0.12924759570054678</v>
      </c>
    </row>
    <row r="21" spans="2:8">
      <c r="B21" s="26">
        <v>44256</v>
      </c>
      <c r="C21" s="28">
        <v>14690.7</v>
      </c>
      <c r="D21" s="30">
        <f t="shared" si="0"/>
        <v>1.1119026233468655E-2</v>
      </c>
      <c r="F21" s="23">
        <v>44256</v>
      </c>
      <c r="G21" s="24">
        <v>2859.05</v>
      </c>
      <c r="H21" s="30">
        <f t="shared" si="1"/>
        <v>-4.5137265379734032E-2</v>
      </c>
    </row>
    <row r="22" spans="2:8">
      <c r="B22" s="26">
        <v>44287</v>
      </c>
      <c r="C22" s="28">
        <v>14631.1</v>
      </c>
      <c r="D22" s="30">
        <f t="shared" si="0"/>
        <v>-4.056988434860174E-3</v>
      </c>
      <c r="F22" s="23">
        <v>44287</v>
      </c>
      <c r="G22" s="24">
        <v>2852.9</v>
      </c>
      <c r="H22" s="30">
        <f t="shared" si="1"/>
        <v>-2.1510641646701142E-3</v>
      </c>
    </row>
    <row r="23" spans="2:8">
      <c r="B23" s="26">
        <v>44317</v>
      </c>
      <c r="C23" s="28">
        <v>15582.8</v>
      </c>
      <c r="D23" s="30">
        <f t="shared" si="0"/>
        <v>6.5046373820150147E-2</v>
      </c>
      <c r="F23" s="23">
        <v>44317</v>
      </c>
      <c r="G23" s="24">
        <v>3069.4</v>
      </c>
      <c r="H23" s="30">
        <f t="shared" si="1"/>
        <v>7.5887693224438293E-2</v>
      </c>
    </row>
    <row r="24" spans="2:8">
      <c r="B24" s="26">
        <v>44348</v>
      </c>
      <c r="C24" s="28">
        <v>15721.5</v>
      </c>
      <c r="D24" s="30">
        <f t="shared" si="0"/>
        <v>8.9008393870165011E-3</v>
      </c>
      <c r="F24" s="23">
        <v>44348</v>
      </c>
      <c r="G24" s="24">
        <v>3344.1</v>
      </c>
      <c r="H24" s="30">
        <f t="shared" si="1"/>
        <v>8.9496318498729327E-2</v>
      </c>
    </row>
    <row r="25" spans="2:8">
      <c r="B25" s="26">
        <v>44378</v>
      </c>
      <c r="C25" s="28">
        <v>15763.05</v>
      </c>
      <c r="D25" s="30">
        <f t="shared" si="0"/>
        <v>2.6428775880163644E-3</v>
      </c>
      <c r="F25" s="23">
        <v>44378</v>
      </c>
      <c r="G25" s="24">
        <v>3500.8</v>
      </c>
      <c r="H25" s="30">
        <f t="shared" si="1"/>
        <v>4.6858646571573896E-2</v>
      </c>
    </row>
    <row r="26" spans="2:8">
      <c r="B26" s="26">
        <v>44409</v>
      </c>
      <c r="C26" s="28">
        <v>17132.2</v>
      </c>
      <c r="D26" s="30">
        <f t="shared" si="0"/>
        <v>8.6858190515160555E-2</v>
      </c>
      <c r="F26" s="23">
        <v>44409</v>
      </c>
      <c r="G26" s="24">
        <v>3954.8</v>
      </c>
      <c r="H26" s="30">
        <f t="shared" si="1"/>
        <v>0.12968464351005485</v>
      </c>
    </row>
    <row r="27" spans="2:8">
      <c r="B27" s="26">
        <v>44440</v>
      </c>
      <c r="C27" s="28">
        <v>17618.150000000001</v>
      </c>
      <c r="D27" s="30">
        <f t="shared" si="0"/>
        <v>2.8364716732235246E-2</v>
      </c>
      <c r="F27" s="23">
        <v>44440</v>
      </c>
      <c r="G27" s="24">
        <v>4250.2</v>
      </c>
      <c r="H27" s="30">
        <f t="shared" si="1"/>
        <v>7.4694042682310002E-2</v>
      </c>
    </row>
    <row r="28" spans="2:8">
      <c r="B28" s="26">
        <v>44470</v>
      </c>
      <c r="C28" s="28">
        <v>17671.650000000001</v>
      </c>
      <c r="D28" s="30">
        <f t="shared" si="0"/>
        <v>3.0366411910444624E-3</v>
      </c>
      <c r="F28" s="23">
        <v>44470</v>
      </c>
      <c r="G28" s="24">
        <v>4635.45</v>
      </c>
      <c r="H28" s="30">
        <f t="shared" si="1"/>
        <v>9.0642793280316228E-2</v>
      </c>
    </row>
    <row r="29" spans="2:8">
      <c r="B29" s="26">
        <v>44501</v>
      </c>
      <c r="C29" s="28">
        <v>16983.2</v>
      </c>
      <c r="D29" s="30">
        <f t="shared" si="0"/>
        <v>-3.8957878862471852E-2</v>
      </c>
      <c r="F29" s="23">
        <v>44501</v>
      </c>
      <c r="G29" s="24">
        <v>4710.8999999999996</v>
      </c>
      <c r="H29" s="30">
        <f t="shared" si="1"/>
        <v>1.6276736886386395E-2</v>
      </c>
    </row>
    <row r="30" spans="2:8">
      <c r="B30" s="26">
        <v>44531</v>
      </c>
      <c r="C30" s="28">
        <v>17354.05</v>
      </c>
      <c r="D30" s="30">
        <f t="shared" si="0"/>
        <v>2.1836285270149237E-2</v>
      </c>
      <c r="F30" s="23">
        <v>44531</v>
      </c>
      <c r="G30" s="24">
        <v>4671.45</v>
      </c>
      <c r="H30" s="30">
        <f t="shared" si="1"/>
        <v>-8.3741960135005674E-3</v>
      </c>
    </row>
    <row r="31" spans="2:8">
      <c r="B31" s="26">
        <v>44562</v>
      </c>
      <c r="C31" s="28">
        <v>17339.849999999999</v>
      </c>
      <c r="D31" s="30">
        <f t="shared" si="0"/>
        <v>-8.1825279977876795E-4</v>
      </c>
      <c r="F31" s="23">
        <v>44562</v>
      </c>
      <c r="G31" s="24">
        <v>4114.3500000000004</v>
      </c>
      <c r="H31" s="30">
        <f t="shared" si="1"/>
        <v>-0.11925633368654261</v>
      </c>
    </row>
    <row r="32" spans="2:8">
      <c r="B32" s="26">
        <v>44593</v>
      </c>
      <c r="C32" s="28">
        <v>16793.900000000001</v>
      </c>
      <c r="D32" s="30">
        <f t="shared" si="0"/>
        <v>-3.1485278131010194E-2</v>
      </c>
      <c r="F32" s="23">
        <v>44593</v>
      </c>
      <c r="G32" s="24">
        <v>4340.3500000000004</v>
      </c>
      <c r="H32" s="30">
        <f t="shared" si="1"/>
        <v>5.4929697279035565E-2</v>
      </c>
    </row>
    <row r="33" spans="2:14">
      <c r="B33" s="26">
        <v>44621</v>
      </c>
      <c r="C33" s="28">
        <v>17464.75</v>
      </c>
      <c r="D33" s="30">
        <f t="shared" si="0"/>
        <v>3.9946051840251427E-2</v>
      </c>
      <c r="F33" s="23">
        <v>44621</v>
      </c>
      <c r="G33" s="24">
        <v>4003.35</v>
      </c>
      <c r="H33" s="30">
        <f t="shared" si="1"/>
        <v>-7.7643508012026782E-2</v>
      </c>
    </row>
    <row r="34" spans="2:14">
      <c r="B34" s="26">
        <v>44652</v>
      </c>
      <c r="C34" s="28">
        <v>17102.55</v>
      </c>
      <c r="D34" s="30">
        <f t="shared" si="0"/>
        <v>-2.0738916961307818E-2</v>
      </c>
      <c r="F34" s="23">
        <v>44652</v>
      </c>
      <c r="G34" s="24">
        <v>3944.25</v>
      </c>
      <c r="H34" s="30">
        <f t="shared" si="1"/>
        <v>-1.4762636292105339E-2</v>
      </c>
    </row>
    <row r="35" spans="2:14">
      <c r="B35" s="26">
        <v>44682</v>
      </c>
      <c r="C35" s="28">
        <v>16584.55</v>
      </c>
      <c r="D35" s="30">
        <f t="shared" si="0"/>
        <v>-3.0287881046978375E-2</v>
      </c>
      <c r="F35" s="23">
        <v>44682</v>
      </c>
      <c r="G35" s="24">
        <v>3972.8</v>
      </c>
      <c r="H35" s="30">
        <f t="shared" si="1"/>
        <v>7.2383849908094523E-3</v>
      </c>
    </row>
    <row r="36" spans="2:14">
      <c r="B36" s="26">
        <v>44713</v>
      </c>
      <c r="C36" s="28">
        <v>15780.25</v>
      </c>
      <c r="D36" s="30">
        <f t="shared" si="0"/>
        <v>-4.849694444528186E-2</v>
      </c>
      <c r="F36" s="23">
        <v>44713</v>
      </c>
      <c r="G36" s="24">
        <v>3406.1</v>
      </c>
      <c r="H36" s="30">
        <f t="shared" si="1"/>
        <v>-0.14264498590414826</v>
      </c>
    </row>
    <row r="37" spans="2:14">
      <c r="B37" s="26">
        <v>44743</v>
      </c>
      <c r="C37" s="28">
        <v>17158.25</v>
      </c>
      <c r="D37" s="30">
        <f t="shared" si="0"/>
        <v>8.7324345305049039E-2</v>
      </c>
      <c r="F37" s="23">
        <v>44743</v>
      </c>
      <c r="G37" s="24">
        <v>4243.8500000000004</v>
      </c>
      <c r="H37" s="30">
        <f t="shared" si="1"/>
        <v>0.24595578520889008</v>
      </c>
    </row>
    <row r="38" spans="2:14">
      <c r="B38" s="26">
        <v>44774</v>
      </c>
      <c r="C38" s="28">
        <v>17759.3</v>
      </c>
      <c r="D38" s="30">
        <f t="shared" si="0"/>
        <v>3.5029796162195988E-2</v>
      </c>
      <c r="F38" s="23">
        <v>44774</v>
      </c>
      <c r="G38" s="24">
        <v>4531.3500000000004</v>
      </c>
      <c r="H38" s="30">
        <f t="shared" si="1"/>
        <v>6.7745089953697699E-2</v>
      </c>
    </row>
    <row r="39" spans="2:14">
      <c r="B39" s="26">
        <v>44805</v>
      </c>
      <c r="C39" s="28">
        <v>17094.349999999999</v>
      </c>
      <c r="D39" s="30">
        <f t="shared" si="0"/>
        <v>-3.7442354146841418E-2</v>
      </c>
      <c r="F39" s="23">
        <v>44805</v>
      </c>
      <c r="G39" s="24">
        <v>4386.55</v>
      </c>
      <c r="H39" s="30">
        <f t="shared" si="1"/>
        <v>-3.1955156851710895E-2</v>
      </c>
    </row>
    <row r="40" spans="2:14">
      <c r="B40" s="26">
        <v>44835</v>
      </c>
      <c r="C40" s="28">
        <v>18012.2</v>
      </c>
      <c r="D40" s="30">
        <f t="shared" ref="D40:D66" si="2">(C40-C39)/C39</f>
        <v>5.3693179325332768E-2</v>
      </c>
      <c r="F40" s="23">
        <v>44835</v>
      </c>
      <c r="G40" s="24">
        <v>4320.8999999999996</v>
      </c>
      <c r="H40" s="30">
        <f t="shared" si="1"/>
        <v>-1.4966203508452096E-2</v>
      </c>
    </row>
    <row r="41" spans="2:14">
      <c r="B41" s="26">
        <v>44866</v>
      </c>
      <c r="C41" s="28">
        <v>18758.349999999999</v>
      </c>
      <c r="D41" s="30">
        <f t="shared" si="2"/>
        <v>4.1424701035964392E-2</v>
      </c>
      <c r="F41" s="23">
        <v>44866</v>
      </c>
      <c r="G41" s="24">
        <v>4025.5</v>
      </c>
      <c r="H41" s="30">
        <f t="shared" si="1"/>
        <v>-6.8365386840704409E-2</v>
      </c>
      <c r="M41" t="s">
        <v>41</v>
      </c>
    </row>
    <row r="42" spans="2:14" ht="15.75" thickBot="1">
      <c r="B42" s="26">
        <v>44896</v>
      </c>
      <c r="C42" s="28">
        <v>18105.3</v>
      </c>
      <c r="D42" s="30">
        <f t="shared" si="2"/>
        <v>-3.4813829574562756E-2</v>
      </c>
      <c r="F42" s="23">
        <v>44896</v>
      </c>
      <c r="G42" s="24">
        <v>4068.75</v>
      </c>
      <c r="H42" s="30">
        <f t="shared" si="1"/>
        <v>1.0744006955657682E-2</v>
      </c>
    </row>
    <row r="43" spans="2:14">
      <c r="B43" s="26">
        <v>44927</v>
      </c>
      <c r="C43" s="28">
        <v>17662.150000000001</v>
      </c>
      <c r="D43" s="30">
        <f t="shared" si="2"/>
        <v>-2.4476258333195132E-2</v>
      </c>
      <c r="F43" s="23">
        <v>44927</v>
      </c>
      <c r="G43" s="24">
        <v>3502.3</v>
      </c>
      <c r="H43" s="30">
        <f t="shared" si="1"/>
        <v>-0.13921966205837169</v>
      </c>
      <c r="M43" s="35" t="s">
        <v>42</v>
      </c>
      <c r="N43" s="35"/>
    </row>
    <row r="44" spans="2:14">
      <c r="B44" s="26">
        <v>44958</v>
      </c>
      <c r="C44" s="28">
        <v>17303.95</v>
      </c>
      <c r="D44" s="30">
        <f t="shared" si="2"/>
        <v>-2.0280656658447624E-2</v>
      </c>
      <c r="F44" s="23">
        <v>44958</v>
      </c>
      <c r="G44" s="24">
        <v>3416.95</v>
      </c>
      <c r="H44" s="30">
        <f t="shared" si="1"/>
        <v>-2.4369699911486839E-2</v>
      </c>
      <c r="M44" s="32" t="s">
        <v>43</v>
      </c>
      <c r="N44" s="32">
        <v>0.45782894051282652</v>
      </c>
    </row>
    <row r="45" spans="2:14">
      <c r="B45" s="26">
        <v>44986</v>
      </c>
      <c r="C45" s="28">
        <v>17359.75</v>
      </c>
      <c r="D45" s="30">
        <f t="shared" si="2"/>
        <v>3.2246972512056074E-3</v>
      </c>
      <c r="F45" s="23">
        <v>44986</v>
      </c>
      <c r="G45" s="24">
        <v>3401.05</v>
      </c>
      <c r="H45" s="30">
        <f t="shared" si="1"/>
        <v>-4.6532726554382236E-3</v>
      </c>
      <c r="M45" s="32" t="s">
        <v>44</v>
      </c>
      <c r="N45" s="32">
        <v>0.20960733877109725</v>
      </c>
    </row>
    <row r="46" spans="2:14">
      <c r="B46" s="26">
        <v>45017</v>
      </c>
      <c r="C46" s="28">
        <v>18065</v>
      </c>
      <c r="D46" s="30">
        <f t="shared" si="2"/>
        <v>4.0625585045867593E-2</v>
      </c>
      <c r="F46" s="23">
        <v>45017</v>
      </c>
      <c r="G46" s="24">
        <v>3511.95</v>
      </c>
      <c r="H46" s="30">
        <f t="shared" si="1"/>
        <v>3.2607577071786548E-2</v>
      </c>
      <c r="M46" s="32" t="s">
        <v>45</v>
      </c>
      <c r="N46" s="32">
        <v>0.19574080085480072</v>
      </c>
    </row>
    <row r="47" spans="2:14">
      <c r="B47" s="26">
        <v>45047</v>
      </c>
      <c r="C47" s="28">
        <v>18534.400000000001</v>
      </c>
      <c r="D47" s="30">
        <f t="shared" si="2"/>
        <v>2.5983946858566368E-2</v>
      </c>
      <c r="F47" s="23">
        <v>45047</v>
      </c>
      <c r="G47" s="24">
        <v>3471.25</v>
      </c>
      <c r="H47" s="30">
        <f t="shared" si="1"/>
        <v>-1.1589003260296936E-2</v>
      </c>
      <c r="M47" s="32" t="s">
        <v>46</v>
      </c>
      <c r="N47" s="32">
        <v>4.8806601245620404E-2</v>
      </c>
    </row>
    <row r="48" spans="2:14" ht="15.75" thickBot="1">
      <c r="B48" s="26">
        <v>45078</v>
      </c>
      <c r="C48" s="28">
        <v>19189.05</v>
      </c>
      <c r="D48" s="30">
        <f t="shared" si="2"/>
        <v>3.5320808874309273E-2</v>
      </c>
      <c r="F48" s="23">
        <v>45078</v>
      </c>
      <c r="G48" s="24">
        <v>3889.2</v>
      </c>
      <c r="H48" s="30">
        <f t="shared" si="1"/>
        <v>0.12040331292761969</v>
      </c>
      <c r="M48" s="33" t="s">
        <v>47</v>
      </c>
      <c r="N48" s="33">
        <v>59</v>
      </c>
    </row>
    <row r="49" spans="2:21">
      <c r="B49" s="26">
        <v>45108</v>
      </c>
      <c r="C49" s="28">
        <v>19753.8</v>
      </c>
      <c r="D49" s="30">
        <f t="shared" si="2"/>
        <v>2.9430847280089427E-2</v>
      </c>
      <c r="F49" s="23">
        <v>45108</v>
      </c>
      <c r="G49" s="24">
        <v>3752.8</v>
      </c>
      <c r="H49" s="30">
        <f t="shared" si="1"/>
        <v>-3.5071479995885953E-2</v>
      </c>
    </row>
    <row r="50" spans="2:21" ht="15.75" thickBot="1">
      <c r="B50" s="26">
        <v>45139</v>
      </c>
      <c r="C50" s="28">
        <v>19253.8</v>
      </c>
      <c r="D50" s="30">
        <f t="shared" si="2"/>
        <v>-2.5311585618969516E-2</v>
      </c>
      <c r="F50" s="23">
        <v>45139</v>
      </c>
      <c r="G50" s="24">
        <v>3720.4</v>
      </c>
      <c r="H50" s="30">
        <f t="shared" si="1"/>
        <v>-8.6335536133020918E-3</v>
      </c>
      <c r="M50" t="s">
        <v>48</v>
      </c>
    </row>
    <row r="51" spans="2:21">
      <c r="B51" s="26">
        <v>45170</v>
      </c>
      <c r="C51" s="28">
        <v>19638.3</v>
      </c>
      <c r="D51" s="30">
        <f t="shared" si="2"/>
        <v>1.9970083827608058E-2</v>
      </c>
      <c r="F51" s="23">
        <v>45170</v>
      </c>
      <c r="G51" s="24">
        <v>3675.6</v>
      </c>
      <c r="H51" s="30">
        <f t="shared" si="1"/>
        <v>-1.2041715944522143E-2</v>
      </c>
      <c r="M51" s="34"/>
      <c r="N51" s="34" t="s">
        <v>53</v>
      </c>
      <c r="O51" s="34" t="s">
        <v>54</v>
      </c>
      <c r="P51" s="34" t="s">
        <v>55</v>
      </c>
      <c r="Q51" s="34" t="s">
        <v>56</v>
      </c>
      <c r="R51" s="34" t="s">
        <v>57</v>
      </c>
    </row>
    <row r="52" spans="2:21">
      <c r="B52" s="26">
        <v>45200</v>
      </c>
      <c r="C52" s="28">
        <v>19079.599999999999</v>
      </c>
      <c r="D52" s="30">
        <f t="shared" si="2"/>
        <v>-2.8449509377084611E-2</v>
      </c>
      <c r="F52" s="23">
        <v>45200</v>
      </c>
      <c r="G52" s="24">
        <v>3633.4</v>
      </c>
      <c r="H52" s="30">
        <f t="shared" si="1"/>
        <v>-1.1481118728914958E-2</v>
      </c>
      <c r="M52" s="32" t="s">
        <v>49</v>
      </c>
      <c r="N52" s="32">
        <v>1</v>
      </c>
      <c r="O52" s="32">
        <v>3.6007715778574034E-2</v>
      </c>
      <c r="P52" s="32">
        <v>3.6007715778574034E-2</v>
      </c>
      <c r="Q52" s="32">
        <v>15.116054204471464</v>
      </c>
      <c r="R52" s="32">
        <v>2.6639035257132666E-4</v>
      </c>
    </row>
    <row r="53" spans="2:21">
      <c r="B53" s="26">
        <v>45231</v>
      </c>
      <c r="C53" s="28">
        <v>20133.150000000001</v>
      </c>
      <c r="D53" s="30">
        <f t="shared" si="2"/>
        <v>5.5218662865049742E-2</v>
      </c>
      <c r="F53" s="23">
        <v>45231</v>
      </c>
      <c r="G53" s="24">
        <v>3949.75</v>
      </c>
      <c r="H53" s="30">
        <f t="shared" si="1"/>
        <v>8.706720977596738E-2</v>
      </c>
      <c r="M53" s="32" t="s">
        <v>50</v>
      </c>
      <c r="N53" s="32">
        <v>57</v>
      </c>
      <c r="O53" s="32">
        <v>0.13577880653349272</v>
      </c>
      <c r="P53" s="32">
        <v>2.382084325148995E-3</v>
      </c>
      <c r="Q53" s="32"/>
      <c r="R53" s="32"/>
    </row>
    <row r="54" spans="2:21" ht="15.75" thickBot="1">
      <c r="B54" s="26">
        <v>45261</v>
      </c>
      <c r="C54" s="28">
        <v>21731.4</v>
      </c>
      <c r="D54" s="30">
        <f t="shared" si="2"/>
        <v>7.9384001013254255E-2</v>
      </c>
      <c r="F54" s="23">
        <v>45261</v>
      </c>
      <c r="G54" s="24">
        <v>4082.65</v>
      </c>
      <c r="H54" s="30">
        <f t="shared" si="1"/>
        <v>3.3647699221469735E-2</v>
      </c>
      <c r="M54" s="33" t="s">
        <v>51</v>
      </c>
      <c r="N54" s="33">
        <v>58</v>
      </c>
      <c r="O54" s="33">
        <v>0.17178652231206676</v>
      </c>
      <c r="P54" s="33"/>
      <c r="Q54" s="33"/>
      <c r="R54" s="33"/>
    </row>
    <row r="55" spans="2:21">
      <c r="B55" s="26">
        <v>45292</v>
      </c>
      <c r="C55" s="28">
        <v>21725.7</v>
      </c>
      <c r="D55" s="30">
        <f t="shared" si="2"/>
        <v>-2.6229327148737439E-4</v>
      </c>
      <c r="F55" s="23">
        <v>45292</v>
      </c>
      <c r="G55" s="24">
        <v>3792.7</v>
      </c>
      <c r="H55" s="30">
        <f t="shared" si="1"/>
        <v>-7.1020048252973006E-2</v>
      </c>
    </row>
    <row r="56" spans="2:21">
      <c r="B56" s="26">
        <v>45323</v>
      </c>
      <c r="C56" s="28">
        <v>21982.799999999999</v>
      </c>
      <c r="D56" s="30">
        <f t="shared" si="2"/>
        <v>1.1833910990209685E-2</v>
      </c>
      <c r="F56" s="23">
        <v>45323</v>
      </c>
      <c r="G56" s="24">
        <v>3918.9</v>
      </c>
      <c r="H56" s="30">
        <f t="shared" si="1"/>
        <v>3.3274448282226456E-2</v>
      </c>
      <c r="N56" t="s">
        <v>58</v>
      </c>
      <c r="O56" t="s">
        <v>46</v>
      </c>
      <c r="P56" t="s">
        <v>59</v>
      </c>
      <c r="Q56" t="s">
        <v>60</v>
      </c>
      <c r="R56" t="s">
        <v>61</v>
      </c>
      <c r="S56" t="s">
        <v>62</v>
      </c>
      <c r="T56" t="s">
        <v>63</v>
      </c>
      <c r="U56" t="s">
        <v>64</v>
      </c>
    </row>
    <row r="57" spans="2:21">
      <c r="B57" s="26">
        <v>45352</v>
      </c>
      <c r="C57" s="28">
        <v>22326.9</v>
      </c>
      <c r="D57" s="30">
        <f t="shared" si="2"/>
        <v>1.5653147005841032E-2</v>
      </c>
      <c r="F57" s="23">
        <v>45352</v>
      </c>
      <c r="G57" s="24">
        <v>4525.6000000000004</v>
      </c>
      <c r="H57" s="30">
        <f t="shared" si="1"/>
        <v>0.15481385082548682</v>
      </c>
      <c r="M57" t="s">
        <v>52</v>
      </c>
      <c r="N57">
        <v>9.8622106464584178E-3</v>
      </c>
      <c r="O57">
        <v>6.4354244292732961E-3</v>
      </c>
      <c r="P57">
        <v>1.532487989696133</v>
      </c>
      <c r="Q57">
        <v>0.13093397791445238</v>
      </c>
      <c r="R57">
        <v>-3.0245043900203553E-3</v>
      </c>
      <c r="S57">
        <v>2.2748925682937189E-2</v>
      </c>
      <c r="T57">
        <v>-3.0245043900203553E-3</v>
      </c>
      <c r="U57">
        <v>2.2748925682937189E-2</v>
      </c>
    </row>
    <row r="58" spans="2:21">
      <c r="B58" s="26">
        <v>45383</v>
      </c>
      <c r="C58" s="28">
        <v>22604.85</v>
      </c>
      <c r="D58" s="30">
        <f t="shared" si="2"/>
        <v>1.2449108474530592E-2</v>
      </c>
      <c r="F58" s="23">
        <v>45383</v>
      </c>
      <c r="G58" s="24">
        <v>4603.8</v>
      </c>
      <c r="H58" s="30">
        <f t="shared" si="1"/>
        <v>1.7279476754463455E-2</v>
      </c>
      <c r="M58" t="s">
        <v>65</v>
      </c>
      <c r="N58">
        <v>0.29706840131998502</v>
      </c>
      <c r="O58">
        <v>7.6407719685359116E-2</v>
      </c>
      <c r="P58">
        <v>3.8879370113816898</v>
      </c>
      <c r="Q58">
        <v>2.6639035257131196E-4</v>
      </c>
      <c r="R58">
        <v>0.14406458300250991</v>
      </c>
      <c r="S58">
        <v>0.45007221963746014</v>
      </c>
      <c r="T58">
        <v>0.14406458300250991</v>
      </c>
      <c r="U58">
        <v>0.45007221963746014</v>
      </c>
    </row>
    <row r="59" spans="2:21">
      <c r="B59" s="26">
        <v>45413</v>
      </c>
      <c r="C59" s="28">
        <v>22530.7</v>
      </c>
      <c r="D59" s="30">
        <f t="shared" si="2"/>
        <v>-3.2802694996869179E-3</v>
      </c>
      <c r="F59" s="23">
        <v>45413</v>
      </c>
      <c r="G59" s="24">
        <v>4302.1499999999996</v>
      </c>
      <c r="H59" s="30">
        <f t="shared" si="1"/>
        <v>-6.5521960119901065E-2</v>
      </c>
    </row>
    <row r="60" spans="2:21">
      <c r="B60" s="26">
        <v>45444</v>
      </c>
      <c r="C60" s="28">
        <v>24010.6</v>
      </c>
      <c r="D60" s="30">
        <f t="shared" si="2"/>
        <v>6.5683711558007424E-2</v>
      </c>
      <c r="F60" s="23">
        <v>45444</v>
      </c>
      <c r="G60" s="24">
        <v>4716.75</v>
      </c>
      <c r="H60" s="30">
        <f t="shared" si="1"/>
        <v>9.6370419441442159E-2</v>
      </c>
    </row>
    <row r="61" spans="2:21">
      <c r="B61" s="26">
        <v>45474</v>
      </c>
      <c r="C61" s="28">
        <v>24951.15</v>
      </c>
      <c r="D61" s="30">
        <f t="shared" si="2"/>
        <v>3.9172282242009901E-2</v>
      </c>
      <c r="F61" s="23">
        <v>45474</v>
      </c>
      <c r="G61" s="24">
        <v>4935.95</v>
      </c>
      <c r="H61" s="30">
        <f t="shared" si="1"/>
        <v>4.6472677161180857E-2</v>
      </c>
    </row>
    <row r="62" spans="2:21">
      <c r="B62" s="26">
        <v>45505</v>
      </c>
      <c r="C62" s="28">
        <v>25235.9</v>
      </c>
      <c r="D62" s="30">
        <f t="shared" si="2"/>
        <v>1.1412299633483827E-2</v>
      </c>
      <c r="F62" s="23">
        <v>45505</v>
      </c>
      <c r="G62" s="24">
        <v>4927.45</v>
      </c>
      <c r="H62" s="30">
        <f t="shared" si="1"/>
        <v>-1.7220595832615809E-3</v>
      </c>
    </row>
    <row r="63" spans="2:21">
      <c r="B63" s="26">
        <v>45536</v>
      </c>
      <c r="C63" s="28">
        <v>25810.85</v>
      </c>
      <c r="D63" s="30">
        <f t="shared" si="2"/>
        <v>2.2783019428670944E-2</v>
      </c>
      <c r="F63" s="23">
        <v>45536</v>
      </c>
      <c r="G63" s="24">
        <v>5096.3</v>
      </c>
      <c r="H63" s="30">
        <f t="shared" si="1"/>
        <v>3.4267217323362055E-2</v>
      </c>
    </row>
    <row r="64" spans="2:21">
      <c r="B64" s="26">
        <v>45566</v>
      </c>
      <c r="C64" s="28">
        <v>24205.35</v>
      </c>
      <c r="D64" s="30">
        <f t="shared" si="2"/>
        <v>-6.2202523357425273E-2</v>
      </c>
      <c r="F64" s="23">
        <v>45566</v>
      </c>
      <c r="G64" s="24">
        <v>3930.7</v>
      </c>
      <c r="H64" s="30">
        <f t="shared" si="1"/>
        <v>-0.22871495006180961</v>
      </c>
    </row>
    <row r="65" spans="2:8">
      <c r="B65" s="26">
        <v>45597</v>
      </c>
      <c r="C65" s="28">
        <v>24131.1</v>
      </c>
      <c r="D65" s="30">
        <f t="shared" si="2"/>
        <v>-3.0675036717089407E-3</v>
      </c>
      <c r="F65" s="23">
        <v>45597</v>
      </c>
      <c r="G65" s="24">
        <v>3709.6</v>
      </c>
      <c r="H65" s="30">
        <f t="shared" si="1"/>
        <v>-5.6249522985727711E-2</v>
      </c>
    </row>
    <row r="66" spans="2:8">
      <c r="B66" s="26">
        <v>45627</v>
      </c>
      <c r="C66" s="28">
        <v>24620.5</v>
      </c>
      <c r="D66" s="30">
        <f t="shared" si="2"/>
        <v>2.0280882346847075E-2</v>
      </c>
      <c r="F66" s="23">
        <v>45627</v>
      </c>
      <c r="G66" s="24">
        <v>3816.9</v>
      </c>
      <c r="H66" s="30">
        <f t="shared" si="1"/>
        <v>2.892495147724827E-2</v>
      </c>
    </row>
  </sheetData>
  <mergeCells count="3">
    <mergeCell ref="B4:D4"/>
    <mergeCell ref="F4:H4"/>
    <mergeCell ref="J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C30"/>
  <sheetViews>
    <sheetView topLeftCell="A10" workbookViewId="0">
      <selection activeCell="C30" sqref="C30"/>
    </sheetView>
  </sheetViews>
  <sheetFormatPr defaultRowHeight="15"/>
  <cols>
    <col min="1" max="1" width="1.85546875" customWidth="1"/>
    <col min="2" max="2" width="11" customWidth="1"/>
    <col min="3" max="3" width="9.85546875" customWidth="1"/>
  </cols>
  <sheetData>
    <row r="2" spans="2:3">
      <c r="B2" t="s">
        <v>84</v>
      </c>
      <c r="C2" t="s">
        <v>85</v>
      </c>
    </row>
    <row r="3" spans="2:3">
      <c r="B3" s="25">
        <v>2000</v>
      </c>
      <c r="C3" s="8">
        <v>-0.14649999999999999</v>
      </c>
    </row>
    <row r="4" spans="2:3">
      <c r="B4" s="25">
        <v>2001</v>
      </c>
      <c r="C4" s="8">
        <v>-0.1618</v>
      </c>
    </row>
    <row r="5" spans="2:3">
      <c r="B5" s="25">
        <v>2002</v>
      </c>
      <c r="C5" s="8">
        <v>3.2500000000000001E-2</v>
      </c>
    </row>
    <row r="6" spans="2:3">
      <c r="B6" s="25">
        <v>2003</v>
      </c>
      <c r="C6" s="8">
        <v>0.71900000000000008</v>
      </c>
    </row>
    <row r="7" spans="2:3">
      <c r="B7" s="25">
        <v>2004</v>
      </c>
      <c r="C7" s="8">
        <v>0.10679999999999999</v>
      </c>
    </row>
    <row r="8" spans="2:3">
      <c r="B8" s="25">
        <v>2005</v>
      </c>
      <c r="C8" s="8">
        <v>0.36340000000000006</v>
      </c>
    </row>
    <row r="9" spans="2:3">
      <c r="B9" s="25">
        <v>2006</v>
      </c>
      <c r="C9" s="8">
        <v>0.39829999999999999</v>
      </c>
    </row>
    <row r="10" spans="2:3">
      <c r="B10" s="25">
        <v>2007</v>
      </c>
      <c r="C10" s="8">
        <v>0.54770000000000008</v>
      </c>
    </row>
    <row r="11" spans="2:3">
      <c r="B11" s="25">
        <v>2008</v>
      </c>
      <c r="C11" s="8">
        <v>-0.51790000000000003</v>
      </c>
    </row>
    <row r="12" spans="2:3">
      <c r="B12" s="25">
        <v>2009</v>
      </c>
      <c r="C12" s="8">
        <v>0.75760000000000005</v>
      </c>
    </row>
    <row r="13" spans="2:3">
      <c r="B13" s="25">
        <v>2010</v>
      </c>
      <c r="C13" s="8">
        <v>0.17949999999999999</v>
      </c>
    </row>
    <row r="14" spans="2:3">
      <c r="B14" s="25">
        <v>2011</v>
      </c>
      <c r="C14" s="8">
        <v>-0.2462</v>
      </c>
    </row>
    <row r="15" spans="2:3">
      <c r="B15" s="25">
        <v>2012</v>
      </c>
      <c r="C15" s="8">
        <v>0.27699999999999997</v>
      </c>
    </row>
    <row r="16" spans="2:3">
      <c r="B16" s="25">
        <v>2013</v>
      </c>
      <c r="C16" s="8">
        <v>6.7599999999999993E-2</v>
      </c>
    </row>
    <row r="17" spans="2:3">
      <c r="B17" s="25">
        <v>2014</v>
      </c>
      <c r="C17" s="8">
        <v>0.31390000000000001</v>
      </c>
    </row>
    <row r="18" spans="2:3">
      <c r="B18" s="25">
        <v>2015</v>
      </c>
      <c r="C18" s="8">
        <v>-4.0599999999999997E-2</v>
      </c>
    </row>
    <row r="19" spans="2:3">
      <c r="B19" s="25">
        <v>2016</v>
      </c>
      <c r="C19" s="8">
        <v>3.0099999999999998E-2</v>
      </c>
    </row>
    <row r="20" spans="2:3">
      <c r="B20" s="25">
        <v>2017</v>
      </c>
      <c r="C20" s="8">
        <v>0.28649999999999998</v>
      </c>
    </row>
    <row r="21" spans="2:3">
      <c r="B21" s="25">
        <v>2018</v>
      </c>
      <c r="C21" s="8">
        <v>3.15E-2</v>
      </c>
    </row>
    <row r="22" spans="2:3">
      <c r="B22" s="25">
        <v>2019</v>
      </c>
      <c r="C22" s="8">
        <v>0.1202</v>
      </c>
    </row>
    <row r="23" spans="2:3">
      <c r="B23" s="25">
        <v>2020</v>
      </c>
      <c r="C23" s="8">
        <v>0.14899999999999999</v>
      </c>
    </row>
    <row r="24" spans="2:3">
      <c r="B24" s="25">
        <v>2021</v>
      </c>
      <c r="C24" s="8">
        <v>0.2412</v>
      </c>
    </row>
    <row r="25" spans="2:3">
      <c r="B25" s="25">
        <v>2022</v>
      </c>
      <c r="C25" s="8">
        <v>4.3200000000000002E-2</v>
      </c>
    </row>
    <row r="26" spans="2:3">
      <c r="B26" s="25">
        <v>2023</v>
      </c>
      <c r="C26" s="8">
        <v>0.19420000000000001</v>
      </c>
    </row>
    <row r="27" spans="2:3">
      <c r="B27" s="25">
        <v>2024</v>
      </c>
    </row>
    <row r="28" spans="2:3">
      <c r="B28" s="25" t="s">
        <v>86</v>
      </c>
      <c r="C28" s="8">
        <f>AVERAGE(C3:C26)</f>
        <v>0.15609166666666666</v>
      </c>
    </row>
    <row r="29" spans="2:3" ht="17.25">
      <c r="B29" s="25" t="s">
        <v>87</v>
      </c>
      <c r="C29" s="43" t="s">
        <v>89</v>
      </c>
    </row>
    <row r="30" spans="2:3">
      <c r="B30" s="44" t="s">
        <v>88</v>
      </c>
      <c r="C30" s="45">
        <f>SUM(C28:C29)</f>
        <v>0.15609166666666666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F16"/>
  <sheetViews>
    <sheetView workbookViewId="0">
      <selection activeCell="D3" sqref="D3"/>
    </sheetView>
  </sheetViews>
  <sheetFormatPr defaultRowHeight="15"/>
  <cols>
    <col min="1" max="1" width="1.85546875" customWidth="1"/>
    <col min="2" max="3" width="17.42578125" customWidth="1"/>
    <col min="4" max="4" width="14.5703125" customWidth="1"/>
    <col min="5" max="5" width="15.140625" customWidth="1"/>
    <col min="6" max="6" width="15.42578125" customWidth="1"/>
  </cols>
  <sheetData>
    <row r="2" spans="2:6">
      <c r="B2" s="25" t="s">
        <v>74</v>
      </c>
      <c r="C2" s="27" t="s">
        <v>75</v>
      </c>
      <c r="D2" s="27" t="s">
        <v>76</v>
      </c>
      <c r="E2" s="27" t="s">
        <v>77</v>
      </c>
      <c r="F2" s="27" t="s">
        <v>78</v>
      </c>
    </row>
    <row r="3" spans="2:6">
      <c r="B3" s="25" t="s">
        <v>79</v>
      </c>
      <c r="C3" s="27">
        <v>3816.9</v>
      </c>
      <c r="D3" s="27">
        <v>248261.6</v>
      </c>
      <c r="E3" s="27">
        <v>712.91</v>
      </c>
      <c r="F3" s="27">
        <v>0.04</v>
      </c>
    </row>
    <row r="4" spans="2:6">
      <c r="B4" s="25" t="s">
        <v>72</v>
      </c>
      <c r="C4" s="27">
        <v>6878.05</v>
      </c>
      <c r="D4" s="27">
        <v>244650.38</v>
      </c>
      <c r="E4" s="27">
        <v>1842.2</v>
      </c>
      <c r="F4" s="27">
        <v>0.39</v>
      </c>
    </row>
    <row r="5" spans="2:6">
      <c r="B5" s="25" t="s">
        <v>80</v>
      </c>
      <c r="C5" s="27">
        <v>310.10000000000002</v>
      </c>
      <c r="D5" s="27">
        <v>33255.53</v>
      </c>
      <c r="E5" s="27">
        <v>9999.18</v>
      </c>
      <c r="F5" s="27">
        <v>2.44</v>
      </c>
    </row>
    <row r="6" spans="2:6">
      <c r="B6" s="25" t="s">
        <v>81</v>
      </c>
      <c r="C6" s="27">
        <v>587.4</v>
      </c>
      <c r="D6" s="27">
        <v>30481.34</v>
      </c>
      <c r="E6" s="27">
        <v>1573.61</v>
      </c>
      <c r="F6" s="27">
        <v>0.33</v>
      </c>
    </row>
    <row r="7" spans="2:6">
      <c r="B7" s="25" t="s">
        <v>82</v>
      </c>
      <c r="C7" s="27">
        <v>821.15</v>
      </c>
      <c r="D7" s="27">
        <v>11358</v>
      </c>
      <c r="E7" s="27">
        <v>650.59</v>
      </c>
      <c r="F7" s="27">
        <v>0.92</v>
      </c>
    </row>
    <row r="8" spans="2:6">
      <c r="B8" s="25"/>
      <c r="C8" s="27"/>
      <c r="D8" s="27"/>
      <c r="E8" s="27"/>
      <c r="F8" s="27"/>
    </row>
    <row r="9" spans="2:6">
      <c r="B9" s="25"/>
      <c r="C9" s="27"/>
      <c r="D9" s="27"/>
      <c r="E9" s="27"/>
      <c r="F9" s="27"/>
    </row>
    <row r="10" spans="2:6">
      <c r="B10" s="25"/>
      <c r="C10" s="27"/>
      <c r="D10" s="27"/>
      <c r="E10" s="27"/>
      <c r="F10" s="27"/>
    </row>
    <row r="11" spans="2:6">
      <c r="B11" s="25"/>
      <c r="C11" s="27"/>
      <c r="D11" s="27"/>
      <c r="E11" s="27"/>
      <c r="F11" s="27"/>
    </row>
    <row r="12" spans="2:6">
      <c r="B12" s="25"/>
      <c r="C12" s="27"/>
      <c r="D12" s="27"/>
      <c r="E12" s="27"/>
      <c r="F12" s="27"/>
    </row>
    <row r="13" spans="2:6">
      <c r="B13" s="25"/>
      <c r="C13" s="27"/>
      <c r="D13" s="27"/>
      <c r="E13" s="27"/>
      <c r="F13" s="27"/>
    </row>
    <row r="14" spans="2:6">
      <c r="B14" s="25"/>
      <c r="C14" s="27"/>
      <c r="D14" s="27"/>
      <c r="E14" s="27"/>
      <c r="F14" s="27"/>
    </row>
    <row r="15" spans="2:6">
      <c r="B15" s="25"/>
      <c r="C15" s="27"/>
      <c r="D15" s="27"/>
      <c r="E15" s="27"/>
      <c r="F15" s="27"/>
    </row>
    <row r="16" spans="2:6">
      <c r="B16" s="25"/>
      <c r="C16" s="27"/>
      <c r="D16" s="27"/>
      <c r="E16" s="27"/>
      <c r="F16" s="2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J21"/>
  <sheetViews>
    <sheetView workbookViewId="0">
      <selection activeCell="B1" sqref="B1:J5"/>
    </sheetView>
  </sheetViews>
  <sheetFormatPr defaultRowHeight="15"/>
  <cols>
    <col min="1" max="1" width="1.85546875" customWidth="1"/>
    <col min="2" max="2" width="17.140625" customWidth="1"/>
    <col min="5" max="5" width="10.140625" bestFit="1" customWidth="1"/>
  </cols>
  <sheetData>
    <row r="1" spans="2:10">
      <c r="B1" s="79" t="s">
        <v>94</v>
      </c>
      <c r="C1" s="79"/>
      <c r="D1" s="79"/>
      <c r="E1" s="79"/>
      <c r="F1" s="79"/>
      <c r="G1" s="79"/>
      <c r="H1" s="79"/>
      <c r="I1" s="79"/>
      <c r="J1" s="79"/>
    </row>
    <row r="2" spans="2:10">
      <c r="B2" s="79"/>
      <c r="C2" s="79"/>
      <c r="D2" s="79"/>
      <c r="E2" s="79"/>
      <c r="F2" s="79"/>
      <c r="G2" s="79"/>
      <c r="H2" s="79"/>
      <c r="I2" s="79"/>
      <c r="J2" s="79"/>
    </row>
    <row r="3" spans="2:10">
      <c r="B3" s="79"/>
      <c r="C3" s="79"/>
      <c r="D3" s="79"/>
      <c r="E3" s="79"/>
      <c r="F3" s="79"/>
      <c r="G3" s="79"/>
      <c r="H3" s="79"/>
      <c r="I3" s="79"/>
      <c r="J3" s="79"/>
    </row>
    <row r="4" spans="2:10">
      <c r="B4" s="79"/>
      <c r="C4" s="79"/>
      <c r="D4" s="79"/>
      <c r="E4" s="79"/>
      <c r="F4" s="79"/>
      <c r="G4" s="79"/>
      <c r="H4" s="79"/>
      <c r="I4" s="79"/>
      <c r="J4" s="79"/>
    </row>
    <row r="5" spans="2:10">
      <c r="B5" s="79"/>
      <c r="C5" s="79"/>
      <c r="D5" s="79"/>
      <c r="E5" s="79"/>
      <c r="F5" s="79"/>
      <c r="G5" s="79"/>
      <c r="H5" s="79"/>
      <c r="I5" s="79"/>
      <c r="J5" s="79"/>
    </row>
    <row r="6" spans="2:10">
      <c r="B6" s="80"/>
      <c r="C6" s="80"/>
      <c r="D6" s="80"/>
      <c r="E6" s="80"/>
      <c r="F6" s="80"/>
      <c r="G6" s="80"/>
      <c r="H6" s="80"/>
      <c r="I6" s="80"/>
      <c r="J6" s="80"/>
    </row>
    <row r="8" spans="2:10">
      <c r="B8" s="75" t="s">
        <v>98</v>
      </c>
      <c r="C8" s="75"/>
      <c r="D8" s="75"/>
      <c r="E8" s="73">
        <v>45016</v>
      </c>
      <c r="F8" s="74">
        <v>45382</v>
      </c>
      <c r="G8" s="74">
        <v>45747</v>
      </c>
      <c r="H8" s="74">
        <v>46112</v>
      </c>
      <c r="I8" s="74">
        <v>46477</v>
      </c>
      <c r="J8" s="74">
        <v>46843</v>
      </c>
    </row>
    <row r="10" spans="2:10">
      <c r="B10" t="s">
        <v>99</v>
      </c>
      <c r="E10">
        <f>[1]historical!$H$25+[1]historical!$H$19</f>
        <v>24664.799999999959</v>
      </c>
    </row>
    <row r="11" spans="2:10">
      <c r="B11" t="s">
        <v>21</v>
      </c>
      <c r="E11" s="76">
        <v>0.25</v>
      </c>
      <c r="F11" s="76">
        <f>E11</f>
        <v>0.25</v>
      </c>
      <c r="G11" s="77">
        <f t="shared" ref="G11:J11" si="0">F11</f>
        <v>0.25</v>
      </c>
      <c r="H11" s="77">
        <f t="shared" si="0"/>
        <v>0.25</v>
      </c>
      <c r="I11" s="77">
        <f t="shared" si="0"/>
        <v>0.25</v>
      </c>
      <c r="J11" s="77">
        <f t="shared" si="0"/>
        <v>0.25</v>
      </c>
    </row>
    <row r="13" spans="2:10">
      <c r="B13" t="s">
        <v>100</v>
      </c>
      <c r="E13" s="1">
        <f>E10*(1-E11)</f>
        <v>18498.599999999969</v>
      </c>
      <c r="F13" s="78">
        <f t="shared" ref="F13:J13" si="1">F10*(1-F11)</f>
        <v>0</v>
      </c>
      <c r="G13" s="78">
        <f t="shared" si="1"/>
        <v>0</v>
      </c>
      <c r="H13" s="78">
        <f t="shared" si="1"/>
        <v>0</v>
      </c>
      <c r="I13" s="78">
        <f t="shared" si="1"/>
        <v>0</v>
      </c>
      <c r="J13" s="78">
        <f t="shared" si="1"/>
        <v>0</v>
      </c>
    </row>
    <row r="14" spans="2:10">
      <c r="B14" t="s">
        <v>104</v>
      </c>
      <c r="F14">
        <v>0.5</v>
      </c>
      <c r="G14">
        <f>F14+1</f>
        <v>1.5</v>
      </c>
      <c r="H14">
        <f t="shared" ref="H14:J14" si="2">G14+1</f>
        <v>2.5</v>
      </c>
      <c r="I14">
        <f t="shared" si="2"/>
        <v>3.5</v>
      </c>
      <c r="J14">
        <f t="shared" si="2"/>
        <v>4.5</v>
      </c>
    </row>
    <row r="15" spans="2:10">
      <c r="B15" t="s">
        <v>105</v>
      </c>
    </row>
    <row r="16" spans="2:10">
      <c r="F16" t="s">
        <v>103</v>
      </c>
    </row>
    <row r="17" spans="2:7">
      <c r="B17" t="s">
        <v>101</v>
      </c>
    </row>
    <row r="21" spans="2:7">
      <c r="G21" t="s">
        <v>102</v>
      </c>
    </row>
  </sheetData>
  <mergeCells count="2">
    <mergeCell ref="B1:J5"/>
    <mergeCell ref="B6:J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DCF</vt:lpstr>
      <vt:lpstr>DATA</vt:lpstr>
      <vt:lpstr>BetaT</vt:lpstr>
      <vt:lpstr>BetaA</vt:lpstr>
      <vt:lpstr>Sheet7</vt:lpstr>
      <vt:lpstr>riskpre</vt:lpstr>
      <vt:lpstr>CompBeta</vt:lpstr>
      <vt:lpstr>Common size Statement</vt:lpstr>
      <vt:lpstr>FCFF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Uzair</dc:creator>
  <cp:lastModifiedBy>Mohd Uzair </cp:lastModifiedBy>
  <cp:lastPrinted>2024-12-10T18:22:40Z</cp:lastPrinted>
  <dcterms:created xsi:type="dcterms:W3CDTF">2024-12-09T13:33:45Z</dcterms:created>
  <dcterms:modified xsi:type="dcterms:W3CDTF">2025-01-02T13:32:16Z</dcterms:modified>
</cp:coreProperties>
</file>