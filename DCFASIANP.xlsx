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749" activeTab="6"/>
  </bookViews>
  <sheets>
    <sheet name="Key Assumption " sheetId="6" r:id="rId1"/>
    <sheet name="3 Statement model" sheetId="4" r:id="rId2"/>
    <sheet name="Revenue Growth and Assumption" sheetId="5" r:id="rId3"/>
    <sheet name="Beta" sheetId="11" r:id="rId4"/>
    <sheet name="WACC" sheetId="9" r:id="rId5"/>
    <sheet name="DCF Modelling" sheetId="1" r:id="rId6"/>
    <sheet name="Comp" sheetId="13" r:id="rId7"/>
    <sheet name="Ratio Analysis" sheetId="15" r:id="rId8"/>
    <sheet name="Data Sheet" sheetId="3" r:id="rId9"/>
  </sheets>
  <externalReferences>
    <externalReference r:id="rId10"/>
  </externalReferences>
  <definedNames>
    <definedName name="UPDATE" localSheetId="8">'Data Sheet'!$E$1</definedName>
    <definedName name="UPDATE">'[1]Data Sheet'!$E$1</definedName>
  </definedNames>
  <calcPr calcId="125725"/>
</workbook>
</file>

<file path=xl/calcChain.xml><?xml version="1.0" encoding="utf-8"?>
<calcChain xmlns="http://schemas.openxmlformats.org/spreadsheetml/2006/main">
  <c r="E58" i="1"/>
  <c r="F58"/>
  <c r="I24" i="13"/>
  <c r="J24" s="1"/>
  <c r="M24"/>
  <c r="M25"/>
  <c r="M30" s="1"/>
  <c r="M26"/>
  <c r="M27"/>
  <c r="M23"/>
  <c r="L24"/>
  <c r="O24" s="1"/>
  <c r="L25"/>
  <c r="L26"/>
  <c r="L27"/>
  <c r="L23"/>
  <c r="O23" s="1"/>
  <c r="K24"/>
  <c r="K25"/>
  <c r="K26"/>
  <c r="K27"/>
  <c r="K23"/>
  <c r="H24"/>
  <c r="H25"/>
  <c r="H26"/>
  <c r="H27"/>
  <c r="I27" s="1"/>
  <c r="J27" s="1"/>
  <c r="H23"/>
  <c r="G24"/>
  <c r="G25"/>
  <c r="O25" s="1"/>
  <c r="G26"/>
  <c r="G27"/>
  <c r="G23"/>
  <c r="I23" s="1"/>
  <c r="F24"/>
  <c r="F25"/>
  <c r="F26"/>
  <c r="F27"/>
  <c r="F23"/>
  <c r="E24"/>
  <c r="E25"/>
  <c r="E26"/>
  <c r="E27"/>
  <c r="E23"/>
  <c r="O27" l="1"/>
  <c r="I26"/>
  <c r="M29"/>
  <c r="O30"/>
  <c r="N26"/>
  <c r="J26"/>
  <c r="N27"/>
  <c r="I25"/>
  <c r="O26"/>
  <c r="O29" s="1"/>
  <c r="N23"/>
  <c r="J23"/>
  <c r="N24"/>
  <c r="B62" i="1"/>
  <c r="B63" s="1"/>
  <c r="B64" s="1"/>
  <c r="H53"/>
  <c r="H51"/>
  <c r="H49"/>
  <c r="J25" i="13" l="1"/>
  <c r="N25"/>
  <c r="N30" s="1"/>
  <c r="B61" i="1"/>
  <c r="B60" s="1"/>
  <c r="K34"/>
  <c r="G34"/>
  <c r="H34"/>
  <c r="I34"/>
  <c r="J34"/>
  <c r="F34"/>
  <c r="F26"/>
  <c r="L19" i="9"/>
  <c r="L18"/>
  <c r="L16"/>
  <c r="L14"/>
  <c r="L13"/>
  <c r="L9"/>
  <c r="L8"/>
  <c r="J14" i="13"/>
  <c r="J15"/>
  <c r="J16"/>
  <c r="J13"/>
  <c r="J17" s="1"/>
  <c r="I13"/>
  <c r="H13"/>
  <c r="H14"/>
  <c r="H15"/>
  <c r="H16"/>
  <c r="G13"/>
  <c r="G14"/>
  <c r="G15"/>
  <c r="I15" s="1"/>
  <c r="G16"/>
  <c r="I16" s="1"/>
  <c r="F13"/>
  <c r="F14"/>
  <c r="F15"/>
  <c r="F16"/>
  <c r="E16"/>
  <c r="N8" s="1"/>
  <c r="E15"/>
  <c r="N7" s="1"/>
  <c r="E14"/>
  <c r="N6" s="1"/>
  <c r="E13"/>
  <c r="N5" s="1"/>
  <c r="J7" i="11"/>
  <c r="J276" s="1"/>
  <c r="S7"/>
  <c r="S276" s="1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7"/>
  <c r="P276" s="1"/>
  <c r="M7"/>
  <c r="M276" s="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8"/>
  <c r="J9"/>
  <c r="J10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7"/>
  <c r="C276" s="1"/>
  <c r="N29" i="13" l="1"/>
  <c r="I14"/>
  <c r="H17"/>
  <c r="I17"/>
  <c r="I18"/>
  <c r="H18"/>
  <c r="L5" i="9" s="1"/>
  <c r="L6" s="1"/>
  <c r="L10"/>
  <c r="H48" i="1"/>
  <c r="L14" i="13"/>
  <c r="K14"/>
  <c r="N4"/>
  <c r="K15"/>
  <c r="L15" s="1"/>
  <c r="K16"/>
  <c r="L16" s="1"/>
  <c r="K13"/>
  <c r="J18"/>
  <c r="H74" i="3"/>
  <c r="I74"/>
  <c r="J74"/>
  <c r="K74"/>
  <c r="G74"/>
  <c r="M67"/>
  <c r="E9" i="5"/>
  <c r="F9" s="1"/>
  <c r="G9" s="1"/>
  <c r="H9" s="1"/>
  <c r="I9" s="1"/>
  <c r="E8"/>
  <c r="F8" s="1"/>
  <c r="G8" s="1"/>
  <c r="H8" s="1"/>
  <c r="I8" s="1"/>
  <c r="F6"/>
  <c r="E4" s="1"/>
  <c r="E5" s="1"/>
  <c r="E7"/>
  <c r="F7" s="1"/>
  <c r="G7" s="1"/>
  <c r="H7" s="1"/>
  <c r="I7" s="1"/>
  <c r="F59" i="4"/>
  <c r="G59"/>
  <c r="H59"/>
  <c r="I59"/>
  <c r="I63" s="1"/>
  <c r="F60"/>
  <c r="G60"/>
  <c r="H60"/>
  <c r="I60"/>
  <c r="F61"/>
  <c r="G61"/>
  <c r="H61"/>
  <c r="I61"/>
  <c r="E60"/>
  <c r="E61"/>
  <c r="E59"/>
  <c r="K18" i="13" l="1"/>
  <c r="K17"/>
  <c r="L13"/>
  <c r="L17" s="1"/>
  <c r="I4" i="5"/>
  <c r="G63" i="4"/>
  <c r="F63"/>
  <c r="E63"/>
  <c r="H63"/>
  <c r="F4" i="5"/>
  <c r="G4"/>
  <c r="H4"/>
  <c r="F47" i="4"/>
  <c r="G47"/>
  <c r="H47"/>
  <c r="I47"/>
  <c r="F48"/>
  <c r="G48"/>
  <c r="H48"/>
  <c r="I48"/>
  <c r="F49"/>
  <c r="G49"/>
  <c r="H49"/>
  <c r="I49"/>
  <c r="E48"/>
  <c r="E49"/>
  <c r="E47"/>
  <c r="F44"/>
  <c r="G44"/>
  <c r="H44"/>
  <c r="I44"/>
  <c r="F45"/>
  <c r="G45"/>
  <c r="H45"/>
  <c r="I45"/>
  <c r="F46"/>
  <c r="G46"/>
  <c r="H46"/>
  <c r="I46"/>
  <c r="E45"/>
  <c r="E46"/>
  <c r="E44"/>
  <c r="F39"/>
  <c r="G39"/>
  <c r="H39"/>
  <c r="I39"/>
  <c r="F40"/>
  <c r="G40"/>
  <c r="H40"/>
  <c r="I40"/>
  <c r="E40"/>
  <c r="E39"/>
  <c r="F38"/>
  <c r="G38"/>
  <c r="H38"/>
  <c r="I38"/>
  <c r="E38"/>
  <c r="F37"/>
  <c r="G37"/>
  <c r="H37"/>
  <c r="I37"/>
  <c r="I41" s="1"/>
  <c r="E37"/>
  <c r="F35"/>
  <c r="F57" s="1"/>
  <c r="G35"/>
  <c r="G57" s="1"/>
  <c r="H35"/>
  <c r="H57" s="1"/>
  <c r="I35"/>
  <c r="I57" s="1"/>
  <c r="E35"/>
  <c r="E57" s="1"/>
  <c r="F21"/>
  <c r="G21"/>
  <c r="H21"/>
  <c r="I21"/>
  <c r="E21"/>
  <c r="F26"/>
  <c r="G26"/>
  <c r="H26"/>
  <c r="I26"/>
  <c r="E26"/>
  <c r="I22"/>
  <c r="I23" s="1"/>
  <c r="H22"/>
  <c r="H23" s="1"/>
  <c r="G22"/>
  <c r="G23" s="1"/>
  <c r="F22"/>
  <c r="F23" s="1"/>
  <c r="E22"/>
  <c r="E23" s="1"/>
  <c r="F17"/>
  <c r="G17"/>
  <c r="H17"/>
  <c r="I17"/>
  <c r="E17"/>
  <c r="F13"/>
  <c r="G13"/>
  <c r="H13"/>
  <c r="I13"/>
  <c r="E13"/>
  <c r="F9"/>
  <c r="G9"/>
  <c r="H9"/>
  <c r="I9"/>
  <c r="E9"/>
  <c r="F7"/>
  <c r="G7"/>
  <c r="H7"/>
  <c r="I7"/>
  <c r="E7"/>
  <c r="B6" i="3"/>
  <c r="L18" i="13" l="1"/>
  <c r="L17" i="9" s="1"/>
  <c r="L20" s="1"/>
  <c r="L21" s="1"/>
  <c r="I5" i="5"/>
  <c r="J10" i="1" s="1"/>
  <c r="G5" i="5"/>
  <c r="H10" i="1" s="1"/>
  <c r="H5" i="5"/>
  <c r="I10" i="1" s="1"/>
  <c r="F10"/>
  <c r="F5" i="5"/>
  <c r="G10" i="1" s="1"/>
  <c r="E41" i="4"/>
  <c r="F41"/>
  <c r="G41"/>
  <c r="H41"/>
  <c r="I50"/>
  <c r="E50"/>
  <c r="E51" s="1"/>
  <c r="F50"/>
  <c r="F51" s="1"/>
  <c r="G50"/>
  <c r="G51" s="1"/>
  <c r="I51"/>
  <c r="H50"/>
  <c r="H51" s="1"/>
  <c r="F8"/>
  <c r="H11"/>
  <c r="H15" s="1"/>
  <c r="E11"/>
  <c r="E15" s="1"/>
  <c r="F10"/>
  <c r="G14"/>
  <c r="E14"/>
  <c r="G10"/>
  <c r="E18"/>
  <c r="F11"/>
  <c r="F15" s="1"/>
  <c r="H10"/>
  <c r="I14"/>
  <c r="F18"/>
  <c r="I8"/>
  <c r="H14"/>
  <c r="H8"/>
  <c r="I10"/>
  <c r="F14"/>
  <c r="G18"/>
  <c r="H18"/>
  <c r="I18"/>
  <c r="I11"/>
  <c r="G8"/>
  <c r="E10"/>
  <c r="G11"/>
  <c r="F36" i="1" l="1"/>
  <c r="G36"/>
  <c r="K36"/>
  <c r="J36"/>
  <c r="I36"/>
  <c r="H36"/>
  <c r="F59"/>
  <c r="G59" s="1"/>
  <c r="H59" s="1"/>
  <c r="I59" s="1"/>
  <c r="J13"/>
  <c r="J17" s="1"/>
  <c r="I13"/>
  <c r="I17" s="1"/>
  <c r="F13"/>
  <c r="F17" s="1"/>
  <c r="H13"/>
  <c r="H17" s="1"/>
  <c r="G13"/>
  <c r="G17" s="1"/>
  <c r="H12" i="4"/>
  <c r="E19"/>
  <c r="E12"/>
  <c r="F12"/>
  <c r="H16"/>
  <c r="H19"/>
  <c r="G12"/>
  <c r="G15"/>
  <c r="I15"/>
  <c r="I12"/>
  <c r="F19"/>
  <c r="F16"/>
  <c r="E16"/>
  <c r="E59" i="1" l="1"/>
  <c r="D59" s="1"/>
  <c r="C59" s="1"/>
  <c r="H24" i="4"/>
  <c r="E24"/>
  <c r="E27" s="1"/>
  <c r="F24"/>
  <c r="E28"/>
  <c r="G16"/>
  <c r="G11" i="1" s="1"/>
  <c r="G12" s="1"/>
  <c r="G14" s="1"/>
  <c r="G19" i="4"/>
  <c r="I16"/>
  <c r="I19"/>
  <c r="E20"/>
  <c r="H20"/>
  <c r="F20"/>
  <c r="G24" l="1"/>
  <c r="I24"/>
  <c r="J11" i="1"/>
  <c r="J12" s="1"/>
  <c r="J14" s="1"/>
  <c r="I11"/>
  <c r="I12" s="1"/>
  <c r="I14" s="1"/>
  <c r="H11"/>
  <c r="H12" s="1"/>
  <c r="H14" s="1"/>
  <c r="F11"/>
  <c r="I20" i="4"/>
  <c r="H27"/>
  <c r="H25"/>
  <c r="H28"/>
  <c r="F28"/>
  <c r="F25"/>
  <c r="F27"/>
  <c r="E25"/>
  <c r="G20"/>
  <c r="F12" i="1" l="1"/>
  <c r="F14" s="1"/>
  <c r="G28" i="4"/>
  <c r="G25"/>
  <c r="G27"/>
  <c r="I28"/>
  <c r="I25"/>
  <c r="I27"/>
  <c r="G75" i="3" l="1"/>
  <c r="J75"/>
  <c r="H75"/>
  <c r="I75"/>
  <c r="G15" i="1"/>
  <c r="G16" s="1"/>
  <c r="K75" i="3"/>
  <c r="I15" i="1"/>
  <c r="I16" s="1"/>
  <c r="J15"/>
  <c r="J16" s="1"/>
  <c r="H15"/>
  <c r="H16" s="1"/>
  <c r="F15"/>
  <c r="F16" s="1"/>
  <c r="G76" i="3" l="1"/>
  <c r="G87"/>
  <c r="K76"/>
  <c r="K87"/>
  <c r="J76"/>
  <c r="J87"/>
  <c r="H76"/>
  <c r="H87"/>
  <c r="I87"/>
  <c r="I76"/>
  <c r="H19" i="1" l="1"/>
  <c r="I18"/>
  <c r="F18"/>
  <c r="I19"/>
  <c r="G18"/>
  <c r="G19"/>
  <c r="J19"/>
  <c r="L88" i="3"/>
  <c r="L87"/>
  <c r="J18" i="1"/>
  <c r="F19"/>
  <c r="F20" s="1"/>
  <c r="F35" s="1"/>
  <c r="F37" s="1"/>
  <c r="H18"/>
  <c r="H20" s="1"/>
  <c r="H35" s="1"/>
  <c r="H37" s="1"/>
  <c r="I20" l="1"/>
  <c r="I35" s="1"/>
  <c r="I37" s="1"/>
  <c r="G20"/>
  <c r="G35" s="1"/>
  <c r="G37" s="1"/>
  <c r="J20"/>
  <c r="F25" l="1"/>
  <c r="F28" s="1"/>
  <c r="K35" s="1"/>
  <c r="K37" s="1"/>
  <c r="F45" s="1"/>
  <c r="J35"/>
  <c r="J37" s="1"/>
  <c r="B45" s="1"/>
  <c r="J45" l="1"/>
  <c r="H47" s="1"/>
  <c r="H50" s="1"/>
  <c r="H52" s="1"/>
  <c r="B59" s="1"/>
  <c r="H54" l="1"/>
</calcChain>
</file>

<file path=xl/sharedStrings.xml><?xml version="1.0" encoding="utf-8"?>
<sst xmlns="http://schemas.openxmlformats.org/spreadsheetml/2006/main" count="321" uniqueCount="249">
  <si>
    <t>Tax Rate</t>
  </si>
  <si>
    <t>Current Price</t>
  </si>
  <si>
    <t>Date</t>
  </si>
  <si>
    <t>Time Periods</t>
  </si>
  <si>
    <t>Year Fraction</t>
  </si>
  <si>
    <t>EBIT</t>
  </si>
  <si>
    <t>Less: Cash Taxes</t>
  </si>
  <si>
    <t>Plus: D&amp;A</t>
  </si>
  <si>
    <t>Less: Capex</t>
  </si>
  <si>
    <t>Less: Changes in NWC</t>
  </si>
  <si>
    <t>Unlevered FCF</t>
  </si>
  <si>
    <t>Market Cap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</si>
  <si>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</si>
  <si>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</si>
  <si>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</si>
  <si>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</si>
  <si>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</si>
  <si>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</si>
  <si>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</si>
  <si>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</si>
  <si>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</si>
  <si>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</si>
  <si>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</si>
  <si>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</si>
  <si>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</si>
  <si>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</si>
  <si>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</si>
  <si>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</si>
  <si>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</si>
  <si>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</si>
  <si>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</si>
  <si>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</si>
  <si>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</si>
  <si>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</si>
  <si>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</si>
  <si>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</si>
  <si>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</si>
  <si>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</si>
  <si>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</si>
  <si>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</si>
  <si>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</si>
  <si>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</si>
  <si>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</si>
  <si>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</si>
  <si>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</si>
  <si>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</si>
  <si>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</si>
  <si>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</si>
  <si>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</si>
  <si>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</si>
  <si>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</si>
  <si>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</si>
  <si>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</si>
  <si>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</si>
  <si>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</si>
  <si>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</si>
  <si>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</si>
  <si>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</si>
  <si>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</si>
  <si>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</si>
  <si>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</si>
  <si>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</si>
  <si>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</si>
  <si>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</si>
  <si>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</si>
  <si>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 xml:space="preserve">Income Statement </t>
  </si>
  <si>
    <t>COGS</t>
  </si>
  <si>
    <t xml:space="preserve">Gross Profit </t>
  </si>
  <si>
    <t xml:space="preserve">EBITDA </t>
  </si>
  <si>
    <t>Depriciation</t>
  </si>
  <si>
    <t xml:space="preserve">Interest </t>
  </si>
  <si>
    <t>EBT</t>
  </si>
  <si>
    <t>Net Profit</t>
  </si>
  <si>
    <t xml:space="preserve">Sales Growth % </t>
  </si>
  <si>
    <t>COGS % Sales</t>
  </si>
  <si>
    <t>Gross Profit  % Sale</t>
  </si>
  <si>
    <t>Other Expenses % Sales</t>
  </si>
  <si>
    <t>EBITDA % SALES</t>
  </si>
  <si>
    <t>Depriciation % Sales</t>
  </si>
  <si>
    <t>EBIT % sales</t>
  </si>
  <si>
    <t>EBT % sale</t>
  </si>
  <si>
    <t xml:space="preserve">Effective Tax Rate </t>
  </si>
  <si>
    <t>in Cr</t>
  </si>
  <si>
    <t>Balance Sheet</t>
  </si>
  <si>
    <t>Perticulars</t>
  </si>
  <si>
    <t>Perticular</t>
  </si>
  <si>
    <t>Liabilities</t>
  </si>
  <si>
    <t>Total Liabilities</t>
  </si>
  <si>
    <t>Assets</t>
  </si>
  <si>
    <t>Other assets</t>
  </si>
  <si>
    <t>Total Assets</t>
  </si>
  <si>
    <t xml:space="preserve">Cash Flow Statement </t>
  </si>
  <si>
    <t xml:space="preserve">Perticular </t>
  </si>
  <si>
    <t xml:space="preserve">Revenue </t>
  </si>
  <si>
    <t>Investing Activity</t>
  </si>
  <si>
    <r>
      <rPr>
        <b/>
        <sz val="11"/>
        <color theme="1"/>
        <rFont val="Calibri"/>
        <family val="2"/>
        <scheme val="minor"/>
      </rPr>
      <t>Cash from Financing Activity</t>
    </r>
    <r>
      <rPr>
        <sz val="11"/>
        <color theme="1"/>
        <rFont val="Calibri"/>
        <family val="2"/>
      </rPr>
      <t xml:space="preserve"> </t>
    </r>
  </si>
  <si>
    <t>Net Cashflow</t>
  </si>
  <si>
    <t>Cash from Operations</t>
  </si>
  <si>
    <t>% of debt</t>
  </si>
  <si>
    <t>Revenue Growth and Assumptions</t>
  </si>
  <si>
    <t>Year</t>
  </si>
  <si>
    <t xml:space="preserve">Revenue Growth </t>
  </si>
  <si>
    <t>Revenue Growth %</t>
  </si>
  <si>
    <t>Revenue (in Crs.)</t>
  </si>
  <si>
    <t xml:space="preserve">Choosen Scenario </t>
  </si>
  <si>
    <t>Base Case</t>
  </si>
  <si>
    <t>Best Case</t>
  </si>
  <si>
    <t>Worst Case</t>
  </si>
  <si>
    <t xml:space="preserve">Key Assumption and Methodology </t>
  </si>
  <si>
    <t>Parameter</t>
  </si>
  <si>
    <t xml:space="preserve">Value </t>
  </si>
  <si>
    <t xml:space="preserve">Valuation Date </t>
  </si>
  <si>
    <t xml:space="preserve">Projection Period </t>
  </si>
  <si>
    <t xml:space="preserve">Annual Growth Tapering </t>
  </si>
  <si>
    <t xml:space="preserve">Risk-Free Rate (Rf) </t>
  </si>
  <si>
    <t xml:space="preserve">Tax Rate </t>
  </si>
  <si>
    <t xml:space="preserve">Terminal Growth Rate (g) </t>
  </si>
  <si>
    <t>Rationale</t>
  </si>
  <si>
    <t xml:space="preserve">Strong Industry Growth along with International Expansion </t>
  </si>
  <si>
    <t xml:space="preserve">Positive Industry Growth with good gdp growth </t>
  </si>
  <si>
    <t>EBITDA Margin %</t>
  </si>
  <si>
    <t>less: Depriciation</t>
  </si>
  <si>
    <t>CWC</t>
  </si>
  <si>
    <t>NOPAT</t>
  </si>
  <si>
    <t>CAPEX % NOPAT</t>
  </si>
  <si>
    <t>WACC</t>
  </si>
  <si>
    <t xml:space="preserve">Target Capital Structure </t>
  </si>
  <si>
    <t>Actual Capital Structure</t>
  </si>
  <si>
    <t>Debt to Equity Ratio</t>
  </si>
  <si>
    <t>Total Debt</t>
  </si>
  <si>
    <t>Proportion of Debt</t>
  </si>
  <si>
    <t>Proportion of Equity</t>
  </si>
  <si>
    <t>Cost of Debt</t>
  </si>
  <si>
    <t>Cost of equity</t>
  </si>
  <si>
    <t>Pre-Tax Cost of Debt</t>
  </si>
  <si>
    <t>After-Tax Cost of Debt</t>
  </si>
  <si>
    <t>Risk Free Rate(Rf)</t>
  </si>
  <si>
    <t>Beta</t>
  </si>
  <si>
    <t>Rate of Return of Market</t>
  </si>
  <si>
    <t>ERP</t>
  </si>
  <si>
    <t xml:space="preserve">Cost of Equity </t>
  </si>
  <si>
    <t>WACC Calculation</t>
  </si>
  <si>
    <t>Name</t>
  </si>
  <si>
    <t>Debt / Eq</t>
  </si>
  <si>
    <t>EV / EBITDA</t>
  </si>
  <si>
    <t>P/E</t>
  </si>
  <si>
    <t>No. of Share Holders</t>
  </si>
  <si>
    <t>Asian Paints</t>
  </si>
  <si>
    <t>Berger Paints</t>
  </si>
  <si>
    <t>Kansai Nerolac</t>
  </si>
  <si>
    <t>Akzo Nobel</t>
  </si>
  <si>
    <t>Indigo Paints</t>
  </si>
  <si>
    <t>CMP Rs.</t>
  </si>
  <si>
    <t>Mar Cap Rs.Cr.</t>
  </si>
  <si>
    <t>Debt Rs.Cr.</t>
  </si>
  <si>
    <t>EV Rs.Cr.</t>
  </si>
  <si>
    <t>Eq Cap Rs.Cr.</t>
  </si>
  <si>
    <t>Comparable Company Analysis</t>
  </si>
  <si>
    <t>Sales Rs.Cr.</t>
  </si>
  <si>
    <t>Beta Calcutaion</t>
  </si>
  <si>
    <t>Price</t>
  </si>
  <si>
    <t>Change %</t>
  </si>
  <si>
    <t>BERGER</t>
  </si>
  <si>
    <t>Kane Nerolac</t>
  </si>
  <si>
    <t>Akzo nobel</t>
  </si>
  <si>
    <t>kane nerolac</t>
  </si>
  <si>
    <t>Indigo</t>
  </si>
  <si>
    <t>Berger</t>
  </si>
  <si>
    <t>Nifty 50</t>
  </si>
  <si>
    <t>Industry Beta</t>
  </si>
  <si>
    <t xml:space="preserve">Average </t>
  </si>
  <si>
    <t>Median</t>
  </si>
  <si>
    <t xml:space="preserve">Equity Value </t>
  </si>
  <si>
    <t>Total debt</t>
  </si>
  <si>
    <t>Debt / capital</t>
  </si>
  <si>
    <t xml:space="preserve">Tax rate </t>
  </si>
  <si>
    <t xml:space="preserve">Unlevered Beta </t>
  </si>
  <si>
    <t xml:space="preserve">Levered Beta </t>
  </si>
  <si>
    <t>YTM of 10 yrs government bond</t>
  </si>
  <si>
    <t xml:space="preserve">Effective Tax rate </t>
  </si>
  <si>
    <t xml:space="preserve"> Free Cash Flow to Firm (FCFF) Calcutaion</t>
  </si>
  <si>
    <t>Years</t>
  </si>
  <si>
    <t>PV of FCFF</t>
  </si>
  <si>
    <t>Terminal Value Calculation</t>
  </si>
  <si>
    <t>Terminal Year FCF(2030)</t>
  </si>
  <si>
    <t>Terminal Growth Rate(g)</t>
  </si>
  <si>
    <t xml:space="preserve">Terminal Value </t>
  </si>
  <si>
    <t>Present Value Calculation</t>
  </si>
  <si>
    <t>FCF (in Crs.)</t>
  </si>
  <si>
    <t>Discounting Factor</t>
  </si>
  <si>
    <t>DCF Valuation Summary</t>
  </si>
  <si>
    <t>PV of Terminal Value</t>
  </si>
  <si>
    <t>EV Value of Firm</t>
  </si>
  <si>
    <t xml:space="preserve">EV Value </t>
  </si>
  <si>
    <t>Less: Net Debt</t>
  </si>
  <si>
    <t xml:space="preserve">Add: Cash and Equivalent </t>
  </si>
  <si>
    <t xml:space="preserve">Share Outstanding </t>
  </si>
  <si>
    <t xml:space="preserve">Fair Value per Share </t>
  </si>
  <si>
    <t xml:space="preserve">Current Market Price </t>
  </si>
  <si>
    <t>Upside/Downside</t>
  </si>
  <si>
    <t>Sensitivity Analysis</t>
  </si>
  <si>
    <t>Terminal Growth / WACC</t>
  </si>
  <si>
    <t>Sum of PV of FCFF(2026-2030)</t>
  </si>
  <si>
    <t>Key Risk &amp; Consideration</t>
  </si>
  <si>
    <t>Upside Risks:</t>
  </si>
  <si>
    <t>Dowside Risks:</t>
  </si>
  <si>
    <t>EBITDA Growth</t>
  </si>
  <si>
    <t>EBIT Growth</t>
  </si>
  <si>
    <t>Net Profit Growth</t>
  </si>
  <si>
    <t>Dividend Growth</t>
  </si>
  <si>
    <t>Gross Margin</t>
  </si>
  <si>
    <t>Operating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</si>
  <si>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</si>
  <si>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</si>
  <si>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</si>
  <si>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</si>
  <si>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</si>
  <si>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</si>
  <si>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</si>
  <si>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</si>
  <si>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</si>
  <si>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</si>
  <si>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</si>
  <si>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</si>
  <si>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</si>
  <si>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</si>
  <si>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</si>
  <si>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</si>
  <si>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</si>
  <si>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</si>
  <si>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</si>
  <si>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</si>
  <si>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</si>
  <si>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</si>
  <si>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</si>
  <si>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</si>
  <si>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Sales Growth</t>
  </si>
  <si>
    <t>Comps Data</t>
  </si>
  <si>
    <t>Ticker</t>
  </si>
  <si>
    <t xml:space="preserve">Price </t>
  </si>
  <si>
    <t xml:space="preserve">Share </t>
  </si>
  <si>
    <t xml:space="preserve">Debt </t>
  </si>
  <si>
    <t xml:space="preserve">Enterprise value </t>
  </si>
  <si>
    <t>EBITDA</t>
  </si>
  <si>
    <t>Earning</t>
  </si>
  <si>
    <t>EV/EBITDA</t>
  </si>
  <si>
    <t>EV/SALES</t>
  </si>
  <si>
    <t xml:space="preserve">EPS </t>
  </si>
  <si>
    <t>Cash and Equivalents</t>
  </si>
</sst>
</file>

<file path=xl/styles.xml><?xml version="1.0" encoding="utf-8"?>
<styleSheet xmlns="http://schemas.openxmlformats.org/spreadsheetml/2006/main">
  <numFmts count="15">
    <numFmt numFmtId="43" formatCode="_ * #,##0.00_ ;_ * \-#,##0.00_ ;_ * &quot;-&quot;??_ ;_ @_ "/>
    <numFmt numFmtId="164" formatCode="_-* #,##0.00_-;\-* #,##0.00_-;_-* &quot;-&quot;??_-;_-@_-"/>
    <numFmt numFmtId="165" formatCode="_-* #,##0_-;\(#,##0\)_-;_-* &quot;-&quot;_-;_-@_-"/>
    <numFmt numFmtId="166" formatCode="_(* #,##0_);_(* \(#,##0\);_(* &quot;-&quot;??_);_(@_)"/>
    <numFmt numFmtId="167" formatCode="[$-409]mmm\-yy;@"/>
    <numFmt numFmtId="168" formatCode="_(* #,##0.00_);_(* \(#,##0.00\);_(* &quot;-&quot;??_);_(@_)"/>
    <numFmt numFmtId="169" formatCode="#,##0.00;\(#,##0.00\)"/>
    <numFmt numFmtId="170" formatCode="#,##0;\(#,##0\)"/>
    <numFmt numFmtId="171" formatCode="0.0"/>
    <numFmt numFmtId="172" formatCode="0;e"/>
    <numFmt numFmtId="173" formatCode="0.0%"/>
    <numFmt numFmtId="174" formatCode=";;;"/>
    <numFmt numFmtId="175" formatCode="#,##0.#;\(#,##0.#\)"/>
    <numFmt numFmtId="176" formatCode="&quot;₹&quot;\ #,##0.0"/>
    <numFmt numFmtId="186" formatCode="0.0\x"/>
  </numFmts>
  <fonts count="44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0"/>
      <color rgb="FF000000"/>
      <name val="Open Sans"/>
      <family val="2"/>
    </font>
    <font>
      <i/>
      <sz val="10"/>
      <color theme="1"/>
      <name val="Open Sans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</font>
    <font>
      <b/>
      <sz val="14"/>
      <color theme="0" tint="-4.9989318521683403E-2"/>
      <name val="Calibri"/>
      <family val="2"/>
    </font>
    <font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i/>
      <sz val="11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color theme="0" tint="-0.34998626667073579"/>
      <name val="Calibri"/>
      <family val="2"/>
    </font>
    <font>
      <sz val="11"/>
      <color theme="1" tint="0.249977111117893"/>
      <name val="Calibri"/>
      <family val="2"/>
    </font>
    <font>
      <sz val="10"/>
      <color rgb="FF0070C0"/>
      <name val="Open Sans"/>
      <family val="2"/>
    </font>
    <font>
      <sz val="12"/>
      <color theme="0"/>
      <name val="Calibri"/>
      <family val="2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b/>
      <sz val="16"/>
      <color theme="0" tint="-4.9989318521683403E-2"/>
      <name val="Calibri"/>
      <family val="2"/>
    </font>
    <font>
      <sz val="16"/>
      <color theme="0" tint="-4.9989318521683403E-2"/>
      <name val="Open Sans"/>
      <family val="2"/>
    </font>
    <font>
      <sz val="16"/>
      <color theme="0" tint="-4.9989318521683403E-2"/>
      <name val="Open san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theme="1"/>
      <name val="Open Sans"/>
    </font>
    <font>
      <b/>
      <sz val="10"/>
      <color rgb="FF000000"/>
      <name val="Open Sans"/>
    </font>
    <font>
      <b/>
      <sz val="14"/>
      <color theme="0"/>
      <name val="Open Sans"/>
    </font>
    <font>
      <b/>
      <sz val="14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</cellStyleXfs>
  <cellXfs count="187">
    <xf numFmtId="0" fontId="0" fillId="0" borderId="0" xfId="0"/>
    <xf numFmtId="165" fontId="5" fillId="0" borderId="0" xfId="1" applyNumberFormat="1" applyFont="1"/>
    <xf numFmtId="165" fontId="6" fillId="0" borderId="0" xfId="1" applyNumberFormat="1" applyFont="1"/>
    <xf numFmtId="165" fontId="6" fillId="0" borderId="0" xfId="1" applyNumberFormat="1" applyFont="1" applyAlignment="1">
      <alignment horizontal="center"/>
    </xf>
    <xf numFmtId="165" fontId="7" fillId="0" borderId="0" xfId="1" applyNumberFormat="1" applyFont="1"/>
    <xf numFmtId="165" fontId="6" fillId="0" borderId="0" xfId="1" applyNumberFormat="1" applyFont="1" applyBorder="1"/>
    <xf numFmtId="165" fontId="5" fillId="0" borderId="0" xfId="1" applyNumberFormat="1" applyFont="1" applyFill="1" applyBorder="1"/>
    <xf numFmtId="165" fontId="6" fillId="0" borderId="0" xfId="1" applyNumberFormat="1" applyFont="1" applyFill="1" applyBorder="1"/>
    <xf numFmtId="0" fontId="9" fillId="0" borderId="1" xfId="1" applyNumberFormat="1" applyFont="1" applyFill="1" applyBorder="1"/>
    <xf numFmtId="14" fontId="10" fillId="0" borderId="0" xfId="1" applyNumberFormat="1" applyFont="1" applyBorder="1"/>
    <xf numFmtId="14" fontId="10" fillId="0" borderId="0" xfId="1" applyNumberFormat="1" applyFont="1" applyFill="1" applyBorder="1"/>
    <xf numFmtId="165" fontId="11" fillId="0" borderId="0" xfId="1" applyNumberFormat="1" applyFont="1" applyBorder="1"/>
    <xf numFmtId="165" fontId="12" fillId="0" borderId="0" xfId="1" applyNumberFormat="1" applyFont="1" applyBorder="1"/>
    <xf numFmtId="14" fontId="12" fillId="0" borderId="0" xfId="1" applyNumberFormat="1" applyFont="1" applyBorder="1"/>
    <xf numFmtId="166" fontId="11" fillId="0" borderId="0" xfId="1" applyNumberFormat="1" applyFont="1" applyBorder="1"/>
    <xf numFmtId="165" fontId="12" fillId="0" borderId="0" xfId="1" applyNumberFormat="1" applyFont="1"/>
    <xf numFmtId="164" fontId="10" fillId="0" borderId="0" xfId="1" applyNumberFormat="1" applyFont="1" applyBorder="1"/>
    <xf numFmtId="165" fontId="8" fillId="0" borderId="0" xfId="1" applyNumberFormat="1" applyFont="1" applyBorder="1"/>
    <xf numFmtId="165" fontId="6" fillId="0" borderId="0" xfId="1" applyNumberFormat="1" applyFont="1" applyAlignment="1">
      <alignment horizontal="left" indent="5"/>
    </xf>
    <xf numFmtId="43" fontId="13" fillId="0" borderId="0" xfId="4" applyFont="1" applyBorder="1"/>
    <xf numFmtId="43" fontId="0" fillId="0" borderId="0" xfId="4" applyFont="1" applyBorder="1"/>
    <xf numFmtId="0" fontId="4" fillId="0" borderId="0" xfId="3"/>
    <xf numFmtId="167" fontId="16" fillId="3" borderId="0" xfId="4" applyNumberFormat="1" applyFont="1" applyFill="1" applyBorder="1"/>
    <xf numFmtId="167" fontId="16" fillId="3" borderId="0" xfId="3" applyNumberFormat="1" applyFont="1" applyFill="1" applyBorder="1" applyAlignment="1">
      <alignment horizontal="center"/>
    </xf>
    <xf numFmtId="167" fontId="17" fillId="0" borderId="0" xfId="4" applyNumberFormat="1" applyFont="1" applyFill="1" applyBorder="1"/>
    <xf numFmtId="43" fontId="4" fillId="0" borderId="0" xfId="4" applyFont="1" applyBorder="1"/>
    <xf numFmtId="168" fontId="0" fillId="0" borderId="0" xfId="4" applyNumberFormat="1" applyFont="1" applyBorder="1"/>
    <xf numFmtId="0" fontId="0" fillId="4" borderId="0" xfId="0" applyFill="1"/>
    <xf numFmtId="0" fontId="18" fillId="4" borderId="0" xfId="0" applyFont="1" applyFill="1"/>
    <xf numFmtId="0" fontId="18" fillId="4" borderId="0" xfId="0" applyFont="1" applyFill="1" applyAlignment="1">
      <alignment horizontal="right"/>
    </xf>
    <xf numFmtId="9" fontId="0" fillId="0" borderId="0" xfId="2" applyFont="1"/>
    <xf numFmtId="169" fontId="0" fillId="0" borderId="0" xfId="0" applyNumberFormat="1"/>
    <xf numFmtId="10" fontId="20" fillId="0" borderId="0" xfId="2" applyNumberFormat="1" applyFont="1"/>
    <xf numFmtId="9" fontId="20" fillId="0" borderId="0" xfId="2" applyFont="1"/>
    <xf numFmtId="2" fontId="0" fillId="0" borderId="0" xfId="2" applyNumberFormat="1" applyFont="1"/>
    <xf numFmtId="2" fontId="0" fillId="0" borderId="0" xfId="0" applyNumberFormat="1"/>
    <xf numFmtId="0" fontId="3" fillId="4" borderId="0" xfId="0" applyFont="1" applyFill="1"/>
    <xf numFmtId="0" fontId="2" fillId="0" borderId="0" xfId="0" applyFont="1"/>
    <xf numFmtId="43" fontId="13" fillId="0" borderId="0" xfId="4" applyFont="1" applyFill="1" applyBorder="1"/>
    <xf numFmtId="43" fontId="0" fillId="0" borderId="0" xfId="4" applyFont="1" applyFill="1" applyBorder="1"/>
    <xf numFmtId="0" fontId="13" fillId="0" borderId="0" xfId="0" applyFont="1"/>
    <xf numFmtId="170" fontId="0" fillId="0" borderId="0" xfId="0" applyNumberFormat="1"/>
    <xf numFmtId="0" fontId="0" fillId="0" borderId="0" xfId="0" applyFont="1"/>
    <xf numFmtId="0" fontId="22" fillId="0" borderId="0" xfId="0" applyFont="1"/>
    <xf numFmtId="9" fontId="22" fillId="0" borderId="0" xfId="2" applyFont="1"/>
    <xf numFmtId="171" fontId="10" fillId="0" borderId="0" xfId="1" applyNumberFormat="1" applyFont="1"/>
    <xf numFmtId="172" fontId="3" fillId="4" borderId="0" xfId="0" applyNumberFormat="1" applyFont="1" applyFill="1"/>
    <xf numFmtId="1" fontId="3" fillId="4" borderId="0" xfId="0" applyNumberFormat="1" applyFont="1" applyFill="1"/>
    <xf numFmtId="0" fontId="0" fillId="0" borderId="0" xfId="0" applyAlignment="1">
      <alignment horizontal="right"/>
    </xf>
    <xf numFmtId="0" fontId="25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left" indent="1"/>
    </xf>
    <xf numFmtId="14" fontId="0" fillId="0" borderId="0" xfId="0" applyNumberFormat="1"/>
    <xf numFmtId="173" fontId="0" fillId="0" borderId="0" xfId="2" applyNumberFormat="1" applyFont="1"/>
    <xf numFmtId="9" fontId="0" fillId="0" borderId="0" xfId="0" applyNumberFormat="1"/>
    <xf numFmtId="9" fontId="24" fillId="0" borderId="0" xfId="2" applyFont="1"/>
    <xf numFmtId="174" fontId="0" fillId="0" borderId="0" xfId="0" applyNumberFormat="1"/>
    <xf numFmtId="9" fontId="0" fillId="0" borderId="0" xfId="2" applyFont="1" applyBorder="1"/>
    <xf numFmtId="175" fontId="10" fillId="0" borderId="0" xfId="1" applyNumberFormat="1" applyFont="1" applyBorder="1"/>
    <xf numFmtId="175" fontId="10" fillId="0" borderId="0" xfId="2" applyNumberFormat="1" applyFont="1" applyBorder="1"/>
    <xf numFmtId="175" fontId="8" fillId="0" borderId="0" xfId="1" applyNumberFormat="1" applyFont="1" applyBorder="1"/>
    <xf numFmtId="175" fontId="11" fillId="0" borderId="0" xfId="1" applyNumberFormat="1" applyFont="1"/>
    <xf numFmtId="175" fontId="8" fillId="0" borderId="0" xfId="1" applyNumberFormat="1" applyFont="1"/>
    <xf numFmtId="175" fontId="11" fillId="0" borderId="2" xfId="1" applyNumberFormat="1" applyFont="1" applyBorder="1"/>
    <xf numFmtId="9" fontId="0" fillId="0" borderId="0" xfId="4" applyNumberFormat="1" applyFont="1" applyBorder="1"/>
    <xf numFmtId="173" fontId="6" fillId="0" borderId="0" xfId="2" applyNumberFormat="1" applyFont="1"/>
    <xf numFmtId="175" fontId="26" fillId="0" borderId="3" xfId="1" applyNumberFormat="1" applyFont="1" applyBorder="1"/>
    <xf numFmtId="165" fontId="5" fillId="0" borderId="0" xfId="1" applyNumberFormat="1" applyFont="1" applyFill="1" applyBorder="1" applyAlignment="1">
      <alignment horizontal="right"/>
    </xf>
    <xf numFmtId="0" fontId="3" fillId="4" borderId="5" xfId="0" applyFont="1" applyFill="1" applyBorder="1"/>
    <xf numFmtId="0" fontId="0" fillId="0" borderId="5" xfId="0" applyBorder="1"/>
    <xf numFmtId="0" fontId="0" fillId="4" borderId="5" xfId="0" applyFill="1" applyBorder="1"/>
    <xf numFmtId="10" fontId="0" fillId="0" borderId="0" xfId="0" applyNumberFormat="1"/>
    <xf numFmtId="0" fontId="28" fillId="0" borderId="0" xfId="0" applyFont="1" applyAlignment="1">
      <alignment horizontal="right" vertical="center" wrapText="1"/>
    </xf>
    <xf numFmtId="14" fontId="28" fillId="0" borderId="0" xfId="0" applyNumberFormat="1" applyFont="1" applyAlignment="1">
      <alignment horizontal="left" vertical="center"/>
    </xf>
    <xf numFmtId="10" fontId="3" fillId="4" borderId="0" xfId="0" applyNumberFormat="1" applyFont="1" applyFill="1"/>
    <xf numFmtId="10" fontId="28" fillId="0" borderId="0" xfId="0" applyNumberFormat="1" applyFont="1" applyAlignment="1">
      <alignment horizontal="right" vertical="center" wrapText="1"/>
    </xf>
    <xf numFmtId="0" fontId="28" fillId="5" borderId="0" xfId="0" applyFont="1" applyFill="1" applyAlignment="1">
      <alignment horizontal="right" vertical="center" wrapText="1"/>
    </xf>
    <xf numFmtId="4" fontId="29" fillId="5" borderId="0" xfId="0" applyNumberFormat="1" applyFont="1" applyFill="1" applyAlignment="1">
      <alignment horizontal="right" vertical="center" wrapText="1" readingOrder="1"/>
    </xf>
    <xf numFmtId="4" fontId="31" fillId="5" borderId="0" xfId="0" applyNumberFormat="1" applyFont="1" applyFill="1" applyAlignment="1">
      <alignment horizontal="right" vertical="center" wrapText="1" readingOrder="1"/>
    </xf>
    <xf numFmtId="10" fontId="30" fillId="5" borderId="0" xfId="0" applyNumberFormat="1" applyFont="1" applyFill="1" applyAlignment="1">
      <alignment horizontal="right" vertical="center" readingOrder="1"/>
    </xf>
    <xf numFmtId="4" fontId="31" fillId="0" borderId="0" xfId="0" applyNumberFormat="1" applyFont="1" applyAlignment="1">
      <alignment horizontal="right" vertical="center" wrapText="1"/>
    </xf>
    <xf numFmtId="0" fontId="21" fillId="4" borderId="0" xfId="0" applyFont="1" applyFill="1"/>
    <xf numFmtId="10" fontId="2" fillId="0" borderId="0" xfId="2" applyNumberFormat="1" applyFont="1"/>
    <xf numFmtId="0" fontId="29" fillId="5" borderId="0" xfId="0" applyFont="1" applyFill="1" applyAlignment="1">
      <alignment horizontal="right" vertical="center" wrapText="1" readingOrder="1"/>
    </xf>
    <xf numFmtId="0" fontId="28" fillId="5" borderId="4" xfId="0" applyFont="1" applyFill="1" applyBorder="1" applyAlignment="1">
      <alignment horizontal="left" vertical="center" wrapText="1"/>
    </xf>
    <xf numFmtId="14" fontId="28" fillId="0" borderId="4" xfId="0" applyNumberFormat="1" applyFont="1" applyBorder="1" applyAlignment="1">
      <alignment horizontal="left" vertical="center"/>
    </xf>
    <xf numFmtId="0" fontId="31" fillId="5" borderId="0" xfId="0" applyFont="1" applyFill="1" applyAlignment="1">
      <alignment horizontal="right" vertical="center" wrapText="1" readingOrder="1"/>
    </xf>
    <xf numFmtId="0" fontId="32" fillId="0" borderId="0" xfId="0" applyFont="1" applyAlignment="1">
      <alignment vertical="center"/>
    </xf>
    <xf numFmtId="4" fontId="31" fillId="5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left" indent="4"/>
    </xf>
    <xf numFmtId="0" fontId="28" fillId="5" borderId="0" xfId="0" applyFont="1" applyFill="1" applyAlignment="1">
      <alignment horizontal="left" vertical="center" wrapText="1" indent="4"/>
    </xf>
    <xf numFmtId="0" fontId="31" fillId="5" borderId="0" xfId="0" applyFont="1" applyFill="1" applyAlignment="1">
      <alignment horizontal="left" vertical="center" wrapText="1" indent="4"/>
    </xf>
    <xf numFmtId="0" fontId="29" fillId="5" borderId="0" xfId="0" applyFont="1" applyFill="1" applyAlignment="1">
      <alignment horizontal="left" vertical="center" wrapText="1" indent="4"/>
    </xf>
    <xf numFmtId="0" fontId="21" fillId="4" borderId="0" xfId="0" applyFont="1" applyFill="1" applyAlignment="1">
      <alignment horizontal="left"/>
    </xf>
    <xf numFmtId="0" fontId="21" fillId="4" borderId="0" xfId="0" applyFont="1" applyFill="1" applyAlignment="1">
      <alignment horizontal="right"/>
    </xf>
    <xf numFmtId="37" fontId="0" fillId="0" borderId="0" xfId="0" applyNumberFormat="1"/>
    <xf numFmtId="39" fontId="0" fillId="0" borderId="0" xfId="0" applyNumberFormat="1"/>
    <xf numFmtId="2" fontId="0" fillId="0" borderId="2" xfId="0" applyNumberFormat="1" applyBorder="1"/>
    <xf numFmtId="0" fontId="0" fillId="0" borderId="2" xfId="0" applyBorder="1"/>
    <xf numFmtId="0" fontId="3" fillId="4" borderId="0" xfId="0" applyFont="1" applyFill="1" applyAlignment="1">
      <alignment wrapText="1"/>
    </xf>
    <xf numFmtId="0" fontId="0" fillId="4" borderId="0" xfId="0" applyFill="1" applyBorder="1"/>
    <xf numFmtId="0" fontId="0" fillId="4" borderId="6" xfId="0" applyFill="1" applyBorder="1"/>
    <xf numFmtId="0" fontId="18" fillId="4" borderId="0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174" fontId="3" fillId="4" borderId="0" xfId="0" applyNumberFormat="1" applyFont="1" applyFill="1"/>
    <xf numFmtId="0" fontId="3" fillId="6" borderId="0" xfId="0" applyFont="1" applyFill="1"/>
    <xf numFmtId="0" fontId="0" fillId="6" borderId="0" xfId="0" applyFill="1"/>
    <xf numFmtId="0" fontId="27" fillId="6" borderId="0" xfId="0" applyFont="1" applyFill="1" applyAlignment="1">
      <alignment horizontal="center"/>
    </xf>
    <xf numFmtId="10" fontId="0" fillId="0" borderId="0" xfId="2" applyNumberFormat="1" applyFont="1"/>
    <xf numFmtId="173" fontId="18" fillId="4" borderId="0" xfId="2" applyNumberFormat="1" applyFont="1" applyFill="1" applyBorder="1"/>
    <xf numFmtId="10" fontId="18" fillId="4" borderId="0" xfId="2" applyNumberFormat="1" applyFont="1" applyFill="1" applyBorder="1"/>
    <xf numFmtId="9" fontId="18" fillId="4" borderId="0" xfId="2" applyNumberFormat="1" applyFont="1" applyFill="1" applyBorder="1"/>
    <xf numFmtId="39" fontId="18" fillId="4" borderId="0" xfId="0" applyNumberFormat="1" applyFont="1" applyFill="1" applyBorder="1"/>
    <xf numFmtId="173" fontId="18" fillId="4" borderId="6" xfId="2" applyNumberFormat="1" applyFont="1" applyFill="1" applyBorder="1"/>
    <xf numFmtId="10" fontId="18" fillId="4" borderId="6" xfId="2" applyNumberFormat="1" applyFont="1" applyFill="1" applyBorder="1"/>
    <xf numFmtId="9" fontId="18" fillId="4" borderId="6" xfId="2" applyNumberFormat="1" applyFont="1" applyFill="1" applyBorder="1"/>
    <xf numFmtId="39" fontId="18" fillId="4" borderId="6" xfId="0" applyNumberFormat="1" applyFont="1" applyFill="1" applyBorder="1"/>
    <xf numFmtId="173" fontId="0" fillId="0" borderId="0" xfId="0" applyNumberFormat="1"/>
    <xf numFmtId="173" fontId="18" fillId="4" borderId="0" xfId="0" applyNumberFormat="1" applyFont="1" applyFill="1"/>
    <xf numFmtId="0" fontId="3" fillId="4" borderId="0" xfId="0" applyFont="1" applyFill="1" applyAlignment="1">
      <alignment horizontal="right"/>
    </xf>
    <xf numFmtId="175" fontId="0" fillId="0" borderId="0" xfId="0" applyNumberFormat="1"/>
    <xf numFmtId="0" fontId="0" fillId="7" borderId="0" xfId="0" applyFill="1"/>
    <xf numFmtId="0" fontId="0" fillId="0" borderId="9" xfId="0" applyBorder="1"/>
    <xf numFmtId="171" fontId="0" fillId="7" borderId="7" xfId="0" applyNumberFormat="1" applyFill="1" applyBorder="1"/>
    <xf numFmtId="171" fontId="0" fillId="0" borderId="8" xfId="0" applyNumberFormat="1" applyBorder="1"/>
    <xf numFmtId="173" fontId="0" fillId="0" borderId="9" xfId="2" applyNumberFormat="1" applyFont="1" applyBorder="1"/>
    <xf numFmtId="176" fontId="0" fillId="0" borderId="8" xfId="0" applyNumberFormat="1" applyBorder="1"/>
    <xf numFmtId="0" fontId="2" fillId="7" borderId="0" xfId="0" applyFont="1" applyFill="1"/>
    <xf numFmtId="171" fontId="0" fillId="0" borderId="9" xfId="0" applyNumberFormat="1" applyBorder="1"/>
    <xf numFmtId="0" fontId="2" fillId="7" borderId="10" xfId="0" applyFont="1" applyFill="1" applyBorder="1"/>
    <xf numFmtId="171" fontId="2" fillId="7" borderId="11" xfId="0" applyNumberFormat="1" applyFont="1" applyFill="1" applyBorder="1"/>
    <xf numFmtId="0" fontId="2" fillId="7" borderId="2" xfId="0" applyFont="1" applyFill="1" applyBorder="1"/>
    <xf numFmtId="176" fontId="2" fillId="7" borderId="12" xfId="0" applyNumberFormat="1" applyFont="1" applyFill="1" applyBorder="1"/>
    <xf numFmtId="0" fontId="0" fillId="7" borderId="2" xfId="0" applyFont="1" applyFill="1" applyBorder="1"/>
    <xf numFmtId="165" fontId="40" fillId="7" borderId="0" xfId="1" applyNumberFormat="1" applyFont="1" applyFill="1"/>
    <xf numFmtId="165" fontId="41" fillId="7" borderId="0" xfId="1" applyNumberFormat="1" applyFont="1" applyFill="1" applyBorder="1"/>
    <xf numFmtId="175" fontId="40" fillId="7" borderId="0" xfId="1" applyNumberFormat="1" applyFont="1" applyFill="1"/>
    <xf numFmtId="0" fontId="2" fillId="0" borderId="2" xfId="0" applyFont="1" applyBorder="1"/>
    <xf numFmtId="169" fontId="0" fillId="0" borderId="2" xfId="0" applyNumberFormat="1" applyBorder="1"/>
    <xf numFmtId="0" fontId="0" fillId="7" borderId="2" xfId="0" applyFill="1" applyBorder="1"/>
    <xf numFmtId="169" fontId="0" fillId="7" borderId="2" xfId="0" applyNumberFormat="1" applyFill="1" applyBorder="1"/>
    <xf numFmtId="43" fontId="13" fillId="7" borderId="2" xfId="4" applyFont="1" applyFill="1" applyBorder="1"/>
    <xf numFmtId="170" fontId="2" fillId="7" borderId="2" xfId="0" applyNumberFormat="1" applyFont="1" applyFill="1" applyBorder="1"/>
    <xf numFmtId="43" fontId="2" fillId="7" borderId="2" xfId="4" applyFont="1" applyFill="1" applyBorder="1"/>
    <xf numFmtId="0" fontId="13" fillId="7" borderId="2" xfId="0" applyFont="1" applyFill="1" applyBorder="1"/>
    <xf numFmtId="0" fontId="2" fillId="7" borderId="0" xfId="0" applyFont="1" applyFill="1" applyAlignment="1">
      <alignment horizontal="right"/>
    </xf>
    <xf numFmtId="10" fontId="0" fillId="7" borderId="0" xfId="0" applyNumberFormat="1" applyFill="1"/>
    <xf numFmtId="0" fontId="0" fillId="7" borderId="0" xfId="0" applyFill="1" applyAlignment="1">
      <alignment horizontal="right"/>
    </xf>
    <xf numFmtId="0" fontId="2" fillId="7" borderId="0" xfId="0" applyFont="1" applyFill="1" applyAlignment="1">
      <alignment horizontal="left" indent="4"/>
    </xf>
    <xf numFmtId="0" fontId="0" fillId="7" borderId="5" xfId="0" applyFill="1" applyBorder="1"/>
    <xf numFmtId="173" fontId="0" fillId="7" borderId="0" xfId="0" applyNumberFormat="1" applyFill="1"/>
    <xf numFmtId="10" fontId="0" fillId="7" borderId="0" xfId="2" applyNumberFormat="1" applyFont="1" applyFill="1"/>
    <xf numFmtId="10" fontId="0" fillId="6" borderId="0" xfId="2" applyNumberFormat="1" applyFont="1" applyFill="1"/>
    <xf numFmtId="173" fontId="3" fillId="4" borderId="0" xfId="2" applyNumberFormat="1" applyFont="1" applyFill="1"/>
    <xf numFmtId="173" fontId="3" fillId="4" borderId="0" xfId="0" applyNumberFormat="1" applyFont="1" applyFill="1"/>
    <xf numFmtId="0" fontId="23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3" fillId="4" borderId="0" xfId="0" applyFont="1" applyFill="1" applyAlignment="1">
      <alignment horizontal="center" vertical="center"/>
    </xf>
    <xf numFmtId="0" fontId="38" fillId="0" borderId="0" xfId="0" applyFont="1" applyAlignment="1">
      <alignment horizontal="center"/>
    </xf>
    <xf numFmtId="171" fontId="38" fillId="8" borderId="0" xfId="0" applyNumberFormat="1" applyFont="1" applyFill="1" applyAlignment="1">
      <alignment horizontal="center"/>
    </xf>
    <xf numFmtId="0" fontId="38" fillId="8" borderId="0" xfId="0" applyFont="1" applyFill="1" applyAlignment="1">
      <alignment horizontal="center"/>
    </xf>
    <xf numFmtId="0" fontId="35" fillId="4" borderId="0" xfId="0" applyFont="1" applyFill="1" applyAlignment="1">
      <alignment horizontal="center" vertical="center"/>
    </xf>
    <xf numFmtId="165" fontId="36" fillId="4" borderId="0" xfId="1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43" fontId="14" fillId="0" borderId="0" xfId="5" applyNumberFormat="1" applyBorder="1" applyAlignment="1" applyProtection="1">
      <alignment horizontal="center"/>
    </xf>
    <xf numFmtId="43" fontId="16" fillId="2" borderId="0" xfId="6" applyNumberFormat="1" applyFont="1" applyBorder="1" applyAlignment="1">
      <alignment horizontal="center"/>
    </xf>
    <xf numFmtId="171" fontId="0" fillId="0" borderId="0" xfId="0" applyNumberFormat="1"/>
    <xf numFmtId="171" fontId="0" fillId="9" borderId="0" xfId="0" applyNumberFormat="1" applyFill="1"/>
    <xf numFmtId="171" fontId="6" fillId="0" borderId="0" xfId="1" applyNumberFormat="1" applyFont="1"/>
    <xf numFmtId="171" fontId="2" fillId="7" borderId="2" xfId="0" applyNumberFormat="1" applyFont="1" applyFill="1" applyBorder="1"/>
    <xf numFmtId="171" fontId="0" fillId="7" borderId="2" xfId="0" applyNumberFormat="1" applyFill="1" applyBorder="1"/>
    <xf numFmtId="176" fontId="0" fillId="0" borderId="0" xfId="0" applyNumberFormat="1"/>
    <xf numFmtId="165" fontId="6" fillId="0" borderId="0" xfId="1" applyNumberFormat="1" applyFont="1" applyAlignment="1">
      <alignment horizontal="center" vertical="center"/>
    </xf>
    <xf numFmtId="165" fontId="42" fillId="4" borderId="0" xfId="1" applyNumberFormat="1" applyFont="1" applyFill="1" applyAlignment="1">
      <alignment horizontal="center" vertical="center"/>
    </xf>
    <xf numFmtId="165" fontId="43" fillId="4" borderId="0" xfId="1" applyNumberFormat="1" applyFont="1" applyFill="1" applyAlignment="1">
      <alignment horizontal="center" vertical="center"/>
    </xf>
    <xf numFmtId="165" fontId="6" fillId="0" borderId="0" xfId="1" applyNumberFormat="1" applyFont="1" applyAlignment="1"/>
    <xf numFmtId="0" fontId="0" fillId="0" borderId="0" xfId="0" applyAlignment="1">
      <alignment wrapText="1"/>
    </xf>
    <xf numFmtId="186" fontId="0" fillId="0" borderId="0" xfId="0" applyNumberFormat="1"/>
    <xf numFmtId="2" fontId="3" fillId="4" borderId="0" xfId="0" applyNumberFormat="1" applyFont="1" applyFill="1"/>
    <xf numFmtId="186" fontId="3" fillId="4" borderId="0" xfId="0" applyNumberFormat="1" applyFont="1" applyFill="1"/>
    <xf numFmtId="0" fontId="0" fillId="0" borderId="0" xfId="0" applyAlignment="1"/>
    <xf numFmtId="186" fontId="0" fillId="7" borderId="0" xfId="0" applyNumberFormat="1" applyFill="1"/>
  </cellXfs>
  <cellStyles count="7">
    <cellStyle name="Accent6 2" xfId="6"/>
    <cellStyle name="Comma" xfId="1" builtinId="3"/>
    <cellStyle name="Comma 2" xfId="4"/>
    <cellStyle name="Hyperlink" xfId="5" builtinId="8"/>
    <cellStyle name="Normal" xfId="0" builtinId="0"/>
    <cellStyle name="Normal 2" xfId="3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A%20ZUBAIR/Downloads/Asian%20Pain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  <sheetName val="financial"/>
      <sheetName val="DATA"/>
      <sheetName val="historical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E1" t="str">
            <v>ASIAN PAINTS LTD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3"/>
  <sheetViews>
    <sheetView workbookViewId="0">
      <selection activeCell="G5" sqref="G5"/>
    </sheetView>
  </sheetViews>
  <sheetFormatPr defaultRowHeight="15"/>
  <cols>
    <col min="1" max="1" width="1.85546875" customWidth="1"/>
    <col min="7" max="7" width="10.42578125" bestFit="1" customWidth="1"/>
  </cols>
  <sheetData>
    <row r="2" spans="2:12" ht="18.75" customHeight="1">
      <c r="B2" s="155" t="s">
        <v>108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4" spans="2:12">
      <c r="B4" s="36" t="s">
        <v>109</v>
      </c>
      <c r="C4" s="27"/>
      <c r="D4" s="27"/>
      <c r="E4" s="27"/>
      <c r="F4" s="27"/>
      <c r="G4" s="36" t="s">
        <v>110</v>
      </c>
      <c r="H4" s="51" t="s">
        <v>117</v>
      </c>
      <c r="I4" s="36"/>
      <c r="J4" s="36"/>
      <c r="K4" s="36"/>
      <c r="L4" s="36"/>
    </row>
    <row r="5" spans="2:12">
      <c r="B5" s="37" t="s">
        <v>111</v>
      </c>
      <c r="G5" s="52">
        <v>46085</v>
      </c>
    </row>
    <row r="6" spans="2:12">
      <c r="B6" s="37" t="s">
        <v>112</v>
      </c>
      <c r="D6" s="50"/>
    </row>
    <row r="7" spans="2:12">
      <c r="B7" s="37" t="s">
        <v>101</v>
      </c>
      <c r="G7" s="30">
        <v>0.15</v>
      </c>
      <c r="H7" t="s">
        <v>118</v>
      </c>
    </row>
    <row r="8" spans="2:12">
      <c r="B8" s="37" t="s">
        <v>113</v>
      </c>
      <c r="G8" s="30">
        <v>0.01</v>
      </c>
    </row>
    <row r="10" spans="2:12">
      <c r="B10" s="37" t="s">
        <v>116</v>
      </c>
      <c r="G10" s="53">
        <v>6.2E-2</v>
      </c>
      <c r="H10" t="s">
        <v>119</v>
      </c>
    </row>
    <row r="12" spans="2:12">
      <c r="B12" s="37" t="s">
        <v>114</v>
      </c>
      <c r="G12" s="53">
        <v>6.88E-2</v>
      </c>
      <c r="H12" t="s">
        <v>178</v>
      </c>
    </row>
    <row r="13" spans="2:12">
      <c r="B13" s="37" t="s">
        <v>115</v>
      </c>
      <c r="G13" s="54">
        <v>0.24</v>
      </c>
      <c r="H13" t="s">
        <v>179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S63"/>
  <sheetViews>
    <sheetView topLeftCell="A57" workbookViewId="0">
      <selection activeCell="E81" sqref="E81"/>
    </sheetView>
  </sheetViews>
  <sheetFormatPr defaultRowHeight="15" outlineLevelRow="1"/>
  <cols>
    <col min="1" max="1" width="1.85546875" customWidth="1"/>
    <col min="5" max="5" width="9.5703125" bestFit="1" customWidth="1"/>
    <col min="16" max="16" width="9.5703125" bestFit="1" customWidth="1"/>
  </cols>
  <sheetData>
    <row r="3" spans="2:19" ht="18.75">
      <c r="B3" s="156" t="s">
        <v>65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9" hidden="1" outlineLevel="1">
      <c r="B4" s="36" t="s">
        <v>84</v>
      </c>
      <c r="C4" s="27"/>
      <c r="D4" s="27"/>
      <c r="E4" s="28">
        <v>2021</v>
      </c>
      <c r="F4" s="28">
        <v>2022</v>
      </c>
      <c r="G4" s="28">
        <v>2023</v>
      </c>
      <c r="H4" s="28">
        <v>2024</v>
      </c>
      <c r="I4" s="28">
        <v>2025</v>
      </c>
      <c r="J4" s="28"/>
      <c r="K4" s="28"/>
      <c r="L4" s="28"/>
    </row>
    <row r="5" spans="2:19" hidden="1" outlineLevel="1">
      <c r="B5" s="28"/>
      <c r="C5" s="28"/>
      <c r="D5" s="28"/>
      <c r="E5" s="29" t="s">
        <v>82</v>
      </c>
      <c r="F5" s="29" t="s">
        <v>82</v>
      </c>
      <c r="G5" s="29" t="s">
        <v>82</v>
      </c>
      <c r="H5" s="29" t="s">
        <v>82</v>
      </c>
      <c r="I5" s="29" t="s">
        <v>82</v>
      </c>
      <c r="J5" s="29"/>
      <c r="K5" s="28"/>
      <c r="L5" s="28"/>
    </row>
    <row r="6" spans="2:19" hidden="1" outlineLevel="1"/>
    <row r="7" spans="2:19" hidden="1" outlineLevel="1">
      <c r="B7" s="37" t="s">
        <v>23</v>
      </c>
      <c r="E7" s="31">
        <f>'Data Sheet'!G17</f>
        <v>21712.79</v>
      </c>
      <c r="F7" s="31">
        <f>'Data Sheet'!H17</f>
        <v>29101.279999999999</v>
      </c>
      <c r="G7" s="31">
        <f>'Data Sheet'!I17</f>
        <v>34488.589999999997</v>
      </c>
      <c r="H7" s="31">
        <f>'Data Sheet'!J17</f>
        <v>35494.730000000003</v>
      </c>
      <c r="I7" s="31">
        <f>'Data Sheet'!K17</f>
        <v>33905.620000000003</v>
      </c>
      <c r="N7" s="30"/>
      <c r="O7" s="30"/>
      <c r="P7" s="30"/>
      <c r="Q7" s="30"/>
      <c r="R7" s="30"/>
      <c r="S7" s="30"/>
    </row>
    <row r="8" spans="2:19" hidden="1" outlineLevel="1">
      <c r="B8" s="43" t="s">
        <v>73</v>
      </c>
      <c r="E8" s="31"/>
      <c r="F8" s="32">
        <f>(F7/E7)-1</f>
        <v>0.34028284711453471</v>
      </c>
      <c r="G8" s="32">
        <f t="shared" ref="G8:I8" si="0">(G7/F7)-1</f>
        <v>0.18512278497715551</v>
      </c>
      <c r="H8" s="32">
        <f t="shared" si="0"/>
        <v>2.9173126532572313E-2</v>
      </c>
      <c r="I8" s="32">
        <f t="shared" si="0"/>
        <v>-4.4770308155605121E-2</v>
      </c>
      <c r="J8" s="32"/>
      <c r="K8" s="32"/>
      <c r="L8" s="32"/>
    </row>
    <row r="9" spans="2:19" hidden="1" outlineLevel="1">
      <c r="B9" s="37" t="s">
        <v>66</v>
      </c>
      <c r="E9" s="31">
        <f>SUM('Data Sheet'!E18:E21)</f>
        <v>12249.64</v>
      </c>
      <c r="F9" s="31">
        <f>SUM('Data Sheet'!F18:F21)</f>
        <v>12282.19</v>
      </c>
      <c r="G9" s="31">
        <f>SUM('Data Sheet'!G18:G21)</f>
        <v>12672.359999999999</v>
      </c>
      <c r="H9" s="31">
        <f>SUM('Data Sheet'!H18:H21)</f>
        <v>21445.9</v>
      </c>
      <c r="I9" s="31">
        <f>SUM('Data Sheet'!I18:I21)</f>
        <v>22349.75</v>
      </c>
      <c r="P9" s="30"/>
    </row>
    <row r="10" spans="2:19" hidden="1" outlineLevel="1">
      <c r="B10" s="43" t="s">
        <v>74</v>
      </c>
      <c r="E10" s="33">
        <f>E9/E7</f>
        <v>0.5641670186097687</v>
      </c>
      <c r="F10" s="33">
        <f t="shared" ref="F10:I10" si="1">F9/F7</f>
        <v>0.4220498204889957</v>
      </c>
      <c r="G10" s="33">
        <f t="shared" si="1"/>
        <v>0.3674363028468256</v>
      </c>
      <c r="H10" s="33">
        <f t="shared" si="1"/>
        <v>0.60419955300406569</v>
      </c>
      <c r="I10" s="33">
        <f t="shared" si="1"/>
        <v>0.65917538154441646</v>
      </c>
      <c r="P10" s="30"/>
    </row>
    <row r="11" spans="2:19" hidden="1" outlineLevel="1">
      <c r="B11" s="37" t="s">
        <v>67</v>
      </c>
      <c r="E11" s="34">
        <f>E7-E9</f>
        <v>9463.1500000000015</v>
      </c>
      <c r="F11" s="35">
        <f t="shared" ref="F11:I11" si="2">F7-F9</f>
        <v>16819.089999999997</v>
      </c>
      <c r="G11" s="35">
        <f t="shared" si="2"/>
        <v>21816.229999999996</v>
      </c>
      <c r="H11" s="35">
        <f t="shared" si="2"/>
        <v>14048.830000000002</v>
      </c>
      <c r="I11" s="35">
        <f t="shared" si="2"/>
        <v>11555.870000000003</v>
      </c>
    </row>
    <row r="12" spans="2:19" hidden="1" outlineLevel="1">
      <c r="B12" s="43" t="s">
        <v>75</v>
      </c>
      <c r="E12" s="33">
        <f>E11/E7</f>
        <v>0.43583298139023136</v>
      </c>
      <c r="F12" s="33">
        <f t="shared" ref="F12:I12" si="3">F11/F7</f>
        <v>0.57795017951100425</v>
      </c>
      <c r="G12" s="33">
        <f t="shared" si="3"/>
        <v>0.6325636971531744</v>
      </c>
      <c r="H12" s="33">
        <f t="shared" si="3"/>
        <v>0.39580044699593436</v>
      </c>
      <c r="I12" s="33">
        <f t="shared" si="3"/>
        <v>0.34082461845558354</v>
      </c>
    </row>
    <row r="13" spans="2:19" hidden="1" outlineLevel="1">
      <c r="B13" s="37" t="s">
        <v>30</v>
      </c>
      <c r="E13" s="31">
        <f>SUM('Data Sheet'!G22:G24)</f>
        <v>4369.7300000000005</v>
      </c>
      <c r="F13" s="31">
        <f>SUM('Data Sheet'!H22:H24)</f>
        <v>5501.71</v>
      </c>
      <c r="G13" s="31">
        <f>SUM('Data Sheet'!I22:I24)</f>
        <v>6498.46</v>
      </c>
      <c r="H13" s="31">
        <f>SUM('Data Sheet'!J22:J24)</f>
        <v>7234.68</v>
      </c>
      <c r="I13" s="31">
        <f>SUM('Data Sheet'!K22:K24)</f>
        <v>7763.92</v>
      </c>
    </row>
    <row r="14" spans="2:19" hidden="1" outlineLevel="1">
      <c r="B14" s="43" t="s">
        <v>76</v>
      </c>
      <c r="E14" s="33">
        <f>E13/E7</f>
        <v>0.20125142830562079</v>
      </c>
      <c r="F14" s="33">
        <f t="shared" ref="F14:I14" si="4">F13/F7</f>
        <v>0.1890538835405178</v>
      </c>
      <c r="G14" s="33">
        <f t="shared" si="4"/>
        <v>0.18842347570602339</v>
      </c>
      <c r="H14" s="33">
        <f t="shared" si="4"/>
        <v>0.20382406064224182</v>
      </c>
      <c r="I14" s="33">
        <f t="shared" si="4"/>
        <v>0.22898622706206226</v>
      </c>
    </row>
    <row r="15" spans="2:19" hidden="1" outlineLevel="1">
      <c r="B15" s="37" t="s">
        <v>68</v>
      </c>
      <c r="E15" s="31">
        <f>E11-E13</f>
        <v>5093.420000000001</v>
      </c>
      <c r="F15" s="31">
        <f t="shared" ref="F15:I15" si="5">F11-F13</f>
        <v>11317.379999999997</v>
      </c>
      <c r="G15" s="31">
        <f t="shared" si="5"/>
        <v>15317.769999999997</v>
      </c>
      <c r="H15" s="31">
        <f t="shared" si="5"/>
        <v>6814.1500000000015</v>
      </c>
      <c r="I15" s="31">
        <f t="shared" si="5"/>
        <v>3791.9500000000025</v>
      </c>
      <c r="J15" s="31"/>
      <c r="K15" s="31"/>
      <c r="L15" s="31"/>
    </row>
    <row r="16" spans="2:19" hidden="1" outlineLevel="1">
      <c r="B16" s="43" t="s">
        <v>77</v>
      </c>
      <c r="E16" s="33">
        <f>E15/E7</f>
        <v>0.23458155308461054</v>
      </c>
      <c r="F16" s="33">
        <f t="shared" ref="F16:I16" si="6">F15/F7</f>
        <v>0.38889629597048647</v>
      </c>
      <c r="G16" s="33">
        <f t="shared" si="6"/>
        <v>0.44414022144715104</v>
      </c>
      <c r="H16" s="33">
        <f t="shared" si="6"/>
        <v>0.19197638635369252</v>
      </c>
      <c r="I16" s="33">
        <f t="shared" si="6"/>
        <v>0.11183839139352125</v>
      </c>
      <c r="J16" s="33"/>
      <c r="K16" s="33"/>
      <c r="L16" s="33"/>
    </row>
    <row r="17" spans="2:12" hidden="1" outlineLevel="1">
      <c r="B17" s="37" t="s">
        <v>69</v>
      </c>
      <c r="E17" s="31">
        <f>'Data Sheet'!G26</f>
        <v>791.27</v>
      </c>
      <c r="F17" s="31">
        <f>'Data Sheet'!H26</f>
        <v>816.36</v>
      </c>
      <c r="G17" s="31">
        <f>'Data Sheet'!I26</f>
        <v>858.02</v>
      </c>
      <c r="H17" s="31">
        <f>'Data Sheet'!J26</f>
        <v>853</v>
      </c>
      <c r="I17" s="31">
        <f>'Data Sheet'!K26</f>
        <v>1026.3399999999999</v>
      </c>
    </row>
    <row r="18" spans="2:12" hidden="1" outlineLevel="1">
      <c r="B18" s="43" t="s">
        <v>78</v>
      </c>
      <c r="E18" s="33">
        <f>E17/E7</f>
        <v>3.6442576011650275E-2</v>
      </c>
      <c r="F18" s="33">
        <f t="shared" ref="F18:I18" si="7">F17/F7</f>
        <v>2.8052374328551871E-2</v>
      </c>
      <c r="G18" s="33">
        <f t="shared" si="7"/>
        <v>2.4878372818372688E-2</v>
      </c>
      <c r="H18" s="33">
        <f t="shared" si="7"/>
        <v>2.4031736542297968E-2</v>
      </c>
      <c r="I18" s="33">
        <f t="shared" si="7"/>
        <v>3.0270497929251843E-2</v>
      </c>
      <c r="J18" s="33"/>
      <c r="K18" s="33"/>
      <c r="L18" s="33"/>
    </row>
    <row r="19" spans="2:12" hidden="1" outlineLevel="1">
      <c r="B19" s="137" t="s">
        <v>5</v>
      </c>
      <c r="C19" s="98"/>
      <c r="D19" s="98"/>
      <c r="E19" s="138">
        <f>E15-E17</f>
        <v>4302.1500000000015</v>
      </c>
      <c r="F19" s="138">
        <f t="shared" ref="F19:I19" si="8">F15-F17</f>
        <v>10501.019999999997</v>
      </c>
      <c r="G19" s="138">
        <f t="shared" si="8"/>
        <v>14459.749999999996</v>
      </c>
      <c r="H19" s="138">
        <f t="shared" si="8"/>
        <v>5961.1500000000015</v>
      </c>
      <c r="I19" s="138">
        <f t="shared" si="8"/>
        <v>2765.6100000000024</v>
      </c>
      <c r="J19" s="31"/>
      <c r="K19" s="31"/>
      <c r="L19" s="31"/>
    </row>
    <row r="20" spans="2:12" hidden="1" outlineLevel="1">
      <c r="B20" s="43" t="s">
        <v>79</v>
      </c>
      <c r="E20" s="33">
        <f>E19/E7</f>
        <v>0.19813897707296027</v>
      </c>
      <c r="F20" s="33">
        <f>F19/F7</f>
        <v>0.36084392164193457</v>
      </c>
      <c r="G20" s="33">
        <f>G19/G7</f>
        <v>0.4192618486287783</v>
      </c>
      <c r="H20" s="33">
        <f>H19/H7</f>
        <v>0.16794464981139456</v>
      </c>
      <c r="I20" s="33">
        <f>I19/I7</f>
        <v>8.1567893464269403E-2</v>
      </c>
      <c r="J20" s="33"/>
      <c r="K20" s="33"/>
      <c r="L20" s="33"/>
    </row>
    <row r="21" spans="2:12" hidden="1" outlineLevel="1">
      <c r="B21" s="37" t="s">
        <v>31</v>
      </c>
      <c r="E21" s="31">
        <f>'Data Sheet'!G25</f>
        <v>331.65</v>
      </c>
      <c r="F21" s="31">
        <f>'Data Sheet'!H25</f>
        <v>295.88</v>
      </c>
      <c r="G21" s="31">
        <f>'Data Sheet'!I25</f>
        <v>431.46</v>
      </c>
      <c r="H21" s="31">
        <f>'Data Sheet'!J25</f>
        <v>820.96</v>
      </c>
      <c r="I21" s="31">
        <f>'Data Sheet'!K25</f>
        <v>350.22</v>
      </c>
    </row>
    <row r="22" spans="2:12" hidden="1" outlineLevel="1">
      <c r="B22" s="37" t="s">
        <v>70</v>
      </c>
      <c r="E22" s="31">
        <f>'Data Sheet'!G27</f>
        <v>91.63</v>
      </c>
      <c r="F22" s="31">
        <f>'Data Sheet'!H27</f>
        <v>95.41</v>
      </c>
      <c r="G22" s="31">
        <f>'Data Sheet'!I27</f>
        <v>144.44999999999999</v>
      </c>
      <c r="H22" s="31">
        <f>'Data Sheet'!J27</f>
        <v>205.17</v>
      </c>
      <c r="I22" s="31">
        <f>'Data Sheet'!K27</f>
        <v>227.02</v>
      </c>
    </row>
    <row r="23" spans="2:12" hidden="1" outlineLevel="1">
      <c r="B23" s="43" t="s">
        <v>98</v>
      </c>
      <c r="E23" s="44">
        <f>E22/'Data Sheet'!G59</f>
        <v>8.3824282786885251E-2</v>
      </c>
      <c r="F23" s="44">
        <f>F22/'Data Sheet'!H59</f>
        <v>6.0124269005847948E-2</v>
      </c>
      <c r="G23" s="44">
        <f>G22/'Data Sheet'!I59</f>
        <v>7.474309486603678E-2</v>
      </c>
      <c r="H23" s="44">
        <f>H22/'Data Sheet'!J59</f>
        <v>8.2917741009869136E-2</v>
      </c>
      <c r="I23" s="44">
        <f>I22/'Data Sheet'!K59</f>
        <v>9.9122818507699897E-2</v>
      </c>
      <c r="J23" s="54"/>
    </row>
    <row r="24" spans="2:12" hidden="1" outlineLevel="1">
      <c r="B24" s="37" t="s">
        <v>71</v>
      </c>
      <c r="E24" s="31">
        <f>E19+E21-E22</f>
        <v>4542.170000000001</v>
      </c>
      <c r="F24" s="31">
        <f t="shared" ref="F24:I24" si="9">F19+F21-F22</f>
        <v>10701.489999999996</v>
      </c>
      <c r="G24" s="31">
        <f t="shared" si="9"/>
        <v>14746.759999999995</v>
      </c>
      <c r="H24" s="31">
        <f t="shared" si="9"/>
        <v>6576.9400000000014</v>
      </c>
      <c r="I24" s="31">
        <f t="shared" si="9"/>
        <v>2888.8100000000027</v>
      </c>
    </row>
    <row r="25" spans="2:12" hidden="1" outlineLevel="1">
      <c r="B25" s="43" t="s">
        <v>80</v>
      </c>
      <c r="E25" s="30">
        <f>E24/E7</f>
        <v>0.20919329114314655</v>
      </c>
      <c r="F25" s="30">
        <f>F24/F7</f>
        <v>0.36773262207023183</v>
      </c>
      <c r="G25" s="30">
        <f>G24/G7</f>
        <v>0.42758373131519717</v>
      </c>
      <c r="H25" s="30">
        <f>H24/H7</f>
        <v>0.18529342243200614</v>
      </c>
      <c r="I25" s="30">
        <f>I24/I7</f>
        <v>8.520150936629392E-2</v>
      </c>
    </row>
    <row r="26" spans="2:12" hidden="1" outlineLevel="1">
      <c r="B26" s="37" t="s">
        <v>35</v>
      </c>
      <c r="E26" s="31">
        <f>'Data Sheet'!G29</f>
        <v>1097.5999999999999</v>
      </c>
      <c r="F26" s="31">
        <f>'Data Sheet'!H29</f>
        <v>1102.9100000000001</v>
      </c>
      <c r="G26" s="31">
        <f>'Data Sheet'!I29</f>
        <v>1493.5</v>
      </c>
      <c r="H26" s="31">
        <f>'Data Sheet'!J29</f>
        <v>1790.08</v>
      </c>
      <c r="I26" s="31">
        <f>'Data Sheet'!K29</f>
        <v>1393.36</v>
      </c>
    </row>
    <row r="27" spans="2:12" ht="15" hidden="1" customHeight="1" outlineLevel="1">
      <c r="B27" s="43" t="s">
        <v>81</v>
      </c>
      <c r="E27" s="55">
        <f>E26/E24</f>
        <v>0.24164661384316299</v>
      </c>
      <c r="F27" s="55">
        <f>F26/F24</f>
        <v>0.10306134940087787</v>
      </c>
      <c r="G27" s="55">
        <f t="shared" ref="G27:I27" si="10">G26/G24</f>
        <v>0.10127648378355655</v>
      </c>
      <c r="H27" s="55">
        <f t="shared" si="10"/>
        <v>0.27217520609888485</v>
      </c>
      <c r="I27" s="55">
        <f t="shared" si="10"/>
        <v>0.4823300943987312</v>
      </c>
    </row>
    <row r="28" spans="2:12" ht="19.5" hidden="1" customHeight="1" outlineLevel="1">
      <c r="B28" s="131" t="s">
        <v>72</v>
      </c>
      <c r="C28" s="139"/>
      <c r="D28" s="139"/>
      <c r="E28" s="140">
        <f>E24-E26</f>
        <v>3444.5700000000011</v>
      </c>
      <c r="F28" s="140">
        <f t="shared" ref="F28:I28" si="11">F24-F26</f>
        <v>9598.5799999999963</v>
      </c>
      <c r="G28" s="140">
        <f t="shared" si="11"/>
        <v>13253.259999999995</v>
      </c>
      <c r="H28" s="140">
        <f t="shared" si="11"/>
        <v>4786.8600000000015</v>
      </c>
      <c r="I28" s="140">
        <f t="shared" si="11"/>
        <v>1495.4500000000028</v>
      </c>
    </row>
    <row r="29" spans="2:12" hidden="1" outlineLevel="1">
      <c r="E29" s="31"/>
      <c r="F29" s="31"/>
      <c r="G29" s="31"/>
      <c r="H29" s="31"/>
      <c r="I29" s="31"/>
    </row>
    <row r="30" spans="2:12" hidden="1" outlineLevel="1">
      <c r="E30" s="31"/>
      <c r="F30" s="31"/>
      <c r="G30" s="31"/>
      <c r="H30" s="31"/>
      <c r="I30" s="31"/>
    </row>
    <row r="31" spans="2:12" hidden="1" outlineLevel="1">
      <c r="E31" s="31"/>
      <c r="F31" s="31"/>
      <c r="G31" s="31"/>
      <c r="H31" s="31"/>
      <c r="I31" s="31"/>
    </row>
    <row r="32" spans="2:12" collapsed="1"/>
    <row r="34" spans="2:12" ht="18.75">
      <c r="B34" s="157" t="s">
        <v>83</v>
      </c>
      <c r="C34" s="157"/>
      <c r="D34" s="157"/>
      <c r="E34" s="157"/>
      <c r="F34" s="157"/>
      <c r="G34" s="157"/>
      <c r="H34" s="157"/>
      <c r="I34" s="157"/>
      <c r="J34" s="157"/>
      <c r="K34" s="157"/>
      <c r="L34" s="157"/>
    </row>
    <row r="35" spans="2:12" outlineLevel="1">
      <c r="B35" s="36" t="s">
        <v>85</v>
      </c>
      <c r="C35" s="36"/>
      <c r="D35" s="36"/>
      <c r="E35" s="36">
        <f>E4</f>
        <v>2021</v>
      </c>
      <c r="F35" s="36">
        <f t="shared" ref="F35:I35" si="12">F4</f>
        <v>2022</v>
      </c>
      <c r="G35" s="36">
        <f t="shared" si="12"/>
        <v>2023</v>
      </c>
      <c r="H35" s="36">
        <f t="shared" si="12"/>
        <v>2024</v>
      </c>
      <c r="I35" s="36">
        <f t="shared" si="12"/>
        <v>2025</v>
      </c>
      <c r="J35" s="36"/>
      <c r="K35" s="36"/>
      <c r="L35" s="36"/>
    </row>
    <row r="36" spans="2:12" ht="18.75" customHeight="1" outlineLevel="1">
      <c r="B36" s="37" t="s">
        <v>86</v>
      </c>
    </row>
    <row r="37" spans="2:12" outlineLevel="1">
      <c r="B37" s="25" t="s">
        <v>42</v>
      </c>
      <c r="E37" s="41">
        <f>'Data Sheet'!G57</f>
        <v>95.92</v>
      </c>
      <c r="F37" s="41">
        <f>'Data Sheet'!H57</f>
        <v>95.92</v>
      </c>
      <c r="G37" s="41">
        <f>'Data Sheet'!I57</f>
        <v>95.92</v>
      </c>
      <c r="H37" s="41">
        <f>'Data Sheet'!J57</f>
        <v>95.92</v>
      </c>
      <c r="I37" s="41">
        <f>'Data Sheet'!K57</f>
        <v>95.92</v>
      </c>
    </row>
    <row r="38" spans="2:12" outlineLevel="1">
      <c r="B38" s="25" t="s">
        <v>43</v>
      </c>
      <c r="E38" s="41">
        <f>'Data Sheet'!G58</f>
        <v>12710.37</v>
      </c>
      <c r="F38" s="41">
        <f>'Data Sheet'!H58</f>
        <v>13715.64</v>
      </c>
      <c r="G38" s="41">
        <f>'Data Sheet'!I58</f>
        <v>15896.31</v>
      </c>
      <c r="H38" s="41">
        <f>'Data Sheet'!J58</f>
        <v>18632.38</v>
      </c>
      <c r="I38" s="41">
        <f>'Data Sheet'!K58</f>
        <v>19303.89</v>
      </c>
    </row>
    <row r="39" spans="2:12" outlineLevel="1">
      <c r="B39" s="25" t="s">
        <v>44</v>
      </c>
      <c r="E39" s="41">
        <f>'Data Sheet'!G59</f>
        <v>1093.1199999999999</v>
      </c>
      <c r="F39" s="41">
        <f>'Data Sheet'!H59</f>
        <v>1586.88</v>
      </c>
      <c r="G39" s="41">
        <f>'Data Sheet'!I59</f>
        <v>1932.62</v>
      </c>
      <c r="H39" s="41">
        <f>'Data Sheet'!J59</f>
        <v>2474.38</v>
      </c>
      <c r="I39" s="41">
        <f>'Data Sheet'!K59</f>
        <v>2290.29</v>
      </c>
    </row>
    <row r="40" spans="2:12" outlineLevel="1">
      <c r="B40" s="25" t="s">
        <v>45</v>
      </c>
      <c r="E40" s="41">
        <f>'Data Sheet'!G60</f>
        <v>6455.93</v>
      </c>
      <c r="F40" s="41">
        <f>'Data Sheet'!H60</f>
        <v>7559.99</v>
      </c>
      <c r="G40" s="41">
        <f>'Data Sheet'!I60</f>
        <v>7854.48</v>
      </c>
      <c r="H40" s="41">
        <f>'Data Sheet'!J60</f>
        <v>8698.09</v>
      </c>
      <c r="I40" s="41">
        <f>'Data Sheet'!K60</f>
        <v>8665.15</v>
      </c>
    </row>
    <row r="41" spans="2:12" outlineLevel="1">
      <c r="B41" s="141" t="s">
        <v>87</v>
      </c>
      <c r="C41" s="131"/>
      <c r="D41" s="131"/>
      <c r="E41" s="142">
        <f>SUM(E37:E40)</f>
        <v>20355.34</v>
      </c>
      <c r="F41" s="142">
        <f>SUM(F37:F40)</f>
        <v>22958.43</v>
      </c>
      <c r="G41" s="142">
        <f t="shared" ref="G41:I41" si="13">SUM(G37:G40)</f>
        <v>25779.329999999998</v>
      </c>
      <c r="H41" s="142">
        <f t="shared" si="13"/>
        <v>29900.77</v>
      </c>
      <c r="I41" s="142">
        <f t="shared" si="13"/>
        <v>30355.25</v>
      </c>
    </row>
    <row r="42" spans="2:12" outlineLevel="1">
      <c r="E42" s="41"/>
      <c r="F42" s="41"/>
      <c r="G42" s="41"/>
      <c r="H42" s="41"/>
      <c r="I42" s="41"/>
    </row>
    <row r="43" spans="2:12" outlineLevel="1">
      <c r="B43" s="38" t="s">
        <v>88</v>
      </c>
      <c r="E43" s="41"/>
      <c r="F43" s="41"/>
      <c r="G43" s="41"/>
      <c r="H43" s="41"/>
      <c r="I43" s="41"/>
    </row>
    <row r="44" spans="2:12" outlineLevel="1">
      <c r="B44" s="25" t="s">
        <v>47</v>
      </c>
      <c r="E44" s="41">
        <f>'Data Sheet'!G62</f>
        <v>5858.52</v>
      </c>
      <c r="F44" s="41">
        <f>'Data Sheet'!H62</f>
        <v>5519.06</v>
      </c>
      <c r="G44" s="41">
        <f>'Data Sheet'!I62</f>
        <v>5770.46</v>
      </c>
      <c r="H44" s="41">
        <f>'Data Sheet'!J62</f>
        <v>7146.62</v>
      </c>
      <c r="I44" s="41">
        <f>'Data Sheet'!K62</f>
        <v>9220.1</v>
      </c>
    </row>
    <row r="45" spans="2:12" outlineLevel="1">
      <c r="B45" s="25" t="s">
        <v>48</v>
      </c>
      <c r="E45" s="41">
        <f>'Data Sheet'!G63</f>
        <v>182.98</v>
      </c>
      <c r="F45" s="41">
        <f>'Data Sheet'!H63</f>
        <v>426.43</v>
      </c>
      <c r="G45" s="41">
        <f>'Data Sheet'!I63</f>
        <v>1019.59</v>
      </c>
      <c r="H45" s="41">
        <f>'Data Sheet'!J63</f>
        <v>2698.37</v>
      </c>
      <c r="I45" s="41">
        <f>'Data Sheet'!K63</f>
        <v>1254.49</v>
      </c>
    </row>
    <row r="46" spans="2:12" outlineLevel="1">
      <c r="B46" s="25" t="s">
        <v>49</v>
      </c>
      <c r="E46" s="41">
        <f>'Data Sheet'!G64</f>
        <v>4736.8</v>
      </c>
      <c r="F46" s="41">
        <f>'Data Sheet'!H64</f>
        <v>3247.53</v>
      </c>
      <c r="G46" s="41">
        <f>'Data Sheet'!I64</f>
        <v>4261.71</v>
      </c>
      <c r="H46" s="41">
        <f>'Data Sheet'!J64</f>
        <v>4587.92</v>
      </c>
      <c r="I46" s="41">
        <f>'Data Sheet'!K64</f>
        <v>4724.75</v>
      </c>
    </row>
    <row r="47" spans="2:12" outlineLevel="1">
      <c r="B47" s="25" t="s">
        <v>51</v>
      </c>
      <c r="E47" s="41">
        <f>'Data Sheet'!G67</f>
        <v>2602.17</v>
      </c>
      <c r="F47" s="41">
        <f>'Data Sheet'!H67</f>
        <v>3871.44</v>
      </c>
      <c r="G47" s="41">
        <f>'Data Sheet'!I67</f>
        <v>4636.9399999999996</v>
      </c>
      <c r="H47" s="41">
        <f>'Data Sheet'!J67</f>
        <v>4889.05</v>
      </c>
      <c r="I47" s="41">
        <f>'Data Sheet'!K67</f>
        <v>4313.6499999999996</v>
      </c>
    </row>
    <row r="48" spans="2:12" outlineLevel="1">
      <c r="B48" s="25" t="s">
        <v>52</v>
      </c>
      <c r="E48" s="41">
        <f>'Data Sheet'!G68</f>
        <v>3798.6</v>
      </c>
      <c r="F48" s="41">
        <f>'Data Sheet'!H68</f>
        <v>6152.98</v>
      </c>
      <c r="G48" s="41">
        <f>'Data Sheet'!I68</f>
        <v>6210.64</v>
      </c>
      <c r="H48" s="41">
        <f>'Data Sheet'!J68</f>
        <v>5923.41</v>
      </c>
      <c r="I48" s="41">
        <f>'Data Sheet'!K68</f>
        <v>6719.27</v>
      </c>
    </row>
    <row r="49" spans="2:12" outlineLevel="1">
      <c r="B49" s="20" t="s">
        <v>53</v>
      </c>
      <c r="E49" s="41">
        <f>'Data Sheet'!G69</f>
        <v>610.75</v>
      </c>
      <c r="F49" s="41">
        <f>'Data Sheet'!H69</f>
        <v>864.33</v>
      </c>
      <c r="G49" s="41">
        <f>'Data Sheet'!I69</f>
        <v>843.82</v>
      </c>
      <c r="H49" s="41">
        <f>'Data Sheet'!J69</f>
        <v>1084.01</v>
      </c>
      <c r="I49" s="41">
        <f>'Data Sheet'!K69</f>
        <v>781.98</v>
      </c>
    </row>
    <row r="50" spans="2:12" outlineLevel="1">
      <c r="B50" s="39" t="s">
        <v>89</v>
      </c>
      <c r="E50" s="41">
        <f>'Data Sheet'!G65-SUM(E47:E49)</f>
        <v>2565.5200000000004</v>
      </c>
      <c r="F50" s="41">
        <f>'Data Sheet'!H65-SUM(F47:F49)</f>
        <v>2876.66</v>
      </c>
      <c r="G50" s="41">
        <f>'Data Sheet'!I65-SUM(G47:G49)</f>
        <v>3036.17</v>
      </c>
      <c r="H50" s="41">
        <f>'Data Sheet'!J65-SUM(H47:H49)</f>
        <v>3571.3900000000012</v>
      </c>
      <c r="I50" s="41">
        <f>'Data Sheet'!K65-SUM(I47:I49)</f>
        <v>3341.01</v>
      </c>
    </row>
    <row r="51" spans="2:12" outlineLevel="1">
      <c r="B51" s="143" t="s">
        <v>90</v>
      </c>
      <c r="C51" s="131"/>
      <c r="D51" s="131"/>
      <c r="E51" s="142">
        <f>SUM(E44:E50)</f>
        <v>20355.34</v>
      </c>
      <c r="F51" s="142">
        <f t="shared" ref="F51:I51" si="14">SUM(F44:F50)</f>
        <v>22958.430000000004</v>
      </c>
      <c r="G51" s="142">
        <f t="shared" si="14"/>
        <v>25779.33</v>
      </c>
      <c r="H51" s="142">
        <f t="shared" si="14"/>
        <v>29900.769999999997</v>
      </c>
      <c r="I51" s="142">
        <f t="shared" si="14"/>
        <v>30355.25</v>
      </c>
    </row>
    <row r="52" spans="2:12" outlineLevel="1"/>
    <row r="53" spans="2:12" outlineLevel="1"/>
    <row r="54" spans="2:12" outlineLevel="1"/>
    <row r="55" spans="2:12" outlineLevel="1"/>
    <row r="56" spans="2:12" ht="18.75">
      <c r="B56" s="157" t="s">
        <v>91</v>
      </c>
      <c r="C56" s="157"/>
      <c r="D56" s="157"/>
      <c r="E56" s="157"/>
      <c r="F56" s="157"/>
      <c r="G56" s="157"/>
      <c r="H56" s="157"/>
      <c r="I56" s="157"/>
      <c r="J56" s="157"/>
      <c r="K56" s="157"/>
      <c r="L56" s="157"/>
    </row>
    <row r="57" spans="2:12">
      <c r="B57" s="36" t="s">
        <v>92</v>
      </c>
      <c r="C57" s="27"/>
      <c r="D57" s="27"/>
      <c r="E57" s="36">
        <f>E35</f>
        <v>2021</v>
      </c>
      <c r="F57" s="36">
        <f t="shared" ref="F57:I57" si="15">F35</f>
        <v>2022</v>
      </c>
      <c r="G57" s="36">
        <f t="shared" si="15"/>
        <v>2023</v>
      </c>
      <c r="H57" s="36">
        <f t="shared" si="15"/>
        <v>2024</v>
      </c>
      <c r="I57" s="36">
        <f t="shared" si="15"/>
        <v>2025</v>
      </c>
      <c r="J57" s="27"/>
      <c r="K57" s="27"/>
      <c r="L57" s="27"/>
    </row>
    <row r="59" spans="2:12" outlineLevel="1">
      <c r="B59" s="37" t="s">
        <v>97</v>
      </c>
      <c r="E59" s="41">
        <f>'Data Sheet'!G82</f>
        <v>3683.35</v>
      </c>
      <c r="F59" s="41">
        <f>'Data Sheet'!H82</f>
        <v>986.49</v>
      </c>
      <c r="G59" s="41">
        <f>'Data Sheet'!I82</f>
        <v>4193.43</v>
      </c>
      <c r="H59" s="41">
        <f>'Data Sheet'!J82</f>
        <v>6103.6</v>
      </c>
      <c r="I59" s="41">
        <f>'Data Sheet'!K82</f>
        <v>4423.96</v>
      </c>
    </row>
    <row r="60" spans="2:12" outlineLevel="1">
      <c r="B60" s="40" t="s">
        <v>94</v>
      </c>
      <c r="E60" s="41">
        <f>'Data Sheet'!G83</f>
        <v>-540.54</v>
      </c>
      <c r="F60" s="41">
        <f>'Data Sheet'!H83</f>
        <v>-316.75</v>
      </c>
      <c r="G60" s="41">
        <f>'Data Sheet'!I83</f>
        <v>-1282.3399999999999</v>
      </c>
      <c r="H60" s="41">
        <f>'Data Sheet'!J83</f>
        <v>-2548.48</v>
      </c>
      <c r="I60" s="41">
        <f>'Data Sheet'!K83</f>
        <v>-940.91</v>
      </c>
    </row>
    <row r="61" spans="2:12" outlineLevel="1">
      <c r="B61" t="s">
        <v>95</v>
      </c>
      <c r="E61" s="41">
        <f>'Data Sheet'!G84</f>
        <v>-650.4</v>
      </c>
      <c r="F61" s="41">
        <f>'Data Sheet'!H84</f>
        <v>-1807.61</v>
      </c>
      <c r="G61" s="41">
        <f>'Data Sheet'!I84</f>
        <v>-2140.0500000000002</v>
      </c>
      <c r="H61" s="41">
        <f>'Data Sheet'!J84</f>
        <v>-2982.5</v>
      </c>
      <c r="I61" s="41">
        <f>'Data Sheet'!K84</f>
        <v>-3752.58</v>
      </c>
    </row>
    <row r="62" spans="2:12" outlineLevel="1">
      <c r="E62" s="41"/>
      <c r="F62" s="41"/>
      <c r="G62" s="41"/>
      <c r="H62" s="41"/>
      <c r="I62" s="41"/>
    </row>
    <row r="63" spans="2:12" outlineLevel="1">
      <c r="B63" s="144" t="s">
        <v>96</v>
      </c>
      <c r="C63" s="139"/>
      <c r="D63" s="139"/>
      <c r="E63" s="142">
        <f>SUM(E59:E61)</f>
        <v>2492.41</v>
      </c>
      <c r="F63" s="142">
        <f t="shared" ref="F63:I63" si="16">SUM(F59:F61)</f>
        <v>-1137.8699999999999</v>
      </c>
      <c r="G63" s="142">
        <f t="shared" si="16"/>
        <v>771.04</v>
      </c>
      <c r="H63" s="142">
        <f t="shared" si="16"/>
        <v>572.62000000000035</v>
      </c>
      <c r="I63" s="142">
        <f t="shared" si="16"/>
        <v>-269.52999999999975</v>
      </c>
    </row>
  </sheetData>
  <mergeCells count="3">
    <mergeCell ref="B3:L3"/>
    <mergeCell ref="B34:L34"/>
    <mergeCell ref="B56:L56"/>
  </mergeCells>
  <pageMargins left="0.7" right="0.7" top="0.75" bottom="0.75" header="0.3" footer="0.3"/>
  <ignoredErrors>
    <ignoredError sqref="E9 E13 F9:I9 F13:I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L14"/>
  <sheetViews>
    <sheetView workbookViewId="0">
      <selection activeCell="F18" sqref="F18"/>
    </sheetView>
  </sheetViews>
  <sheetFormatPr defaultRowHeight="15"/>
  <cols>
    <col min="1" max="1" width="1.85546875" customWidth="1"/>
  </cols>
  <sheetData>
    <row r="2" spans="2:12" ht="19.5" customHeight="1">
      <c r="B2" s="158" t="s">
        <v>99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2:12">
      <c r="B3" s="36" t="s">
        <v>100</v>
      </c>
      <c r="C3" s="36"/>
      <c r="D3" s="36"/>
      <c r="E3" s="46">
        <v>2026</v>
      </c>
      <c r="F3" s="47">
        <v>2027</v>
      </c>
      <c r="G3" s="47">
        <v>2028</v>
      </c>
      <c r="H3" s="47">
        <v>2029</v>
      </c>
      <c r="I3" s="47">
        <v>2030</v>
      </c>
      <c r="J3" s="36"/>
      <c r="K3" s="36"/>
      <c r="L3" s="36"/>
    </row>
    <row r="4" spans="2:12">
      <c r="B4" t="s">
        <v>102</v>
      </c>
      <c r="E4" s="53">
        <f>CHOOSE($F$6,E7:I7,E8:I8,E9:I9)</f>
        <v>0.15</v>
      </c>
      <c r="F4" s="53">
        <f t="shared" ref="F4:I4" si="0">CHOOSE($F$6,F7:J7,F8:J8,F9:J9)</f>
        <v>0.13999999999999999</v>
      </c>
      <c r="G4" s="53">
        <f t="shared" si="0"/>
        <v>0.12999999999999998</v>
      </c>
      <c r="H4" s="53">
        <f t="shared" si="0"/>
        <v>0.11999999999999998</v>
      </c>
      <c r="I4" s="53">
        <f t="shared" si="0"/>
        <v>0.10999999999999999</v>
      </c>
    </row>
    <row r="5" spans="2:12">
      <c r="B5" s="121" t="s">
        <v>103</v>
      </c>
      <c r="C5" s="121"/>
      <c r="D5" s="121"/>
      <c r="E5" s="121">
        <f>'3 Statement model'!$I$7*(1+'Revenue Growth and Assumption'!E4)</f>
        <v>38991.463000000003</v>
      </c>
      <c r="F5" s="121">
        <f>'3 Statement model'!$I$7*(1+'Revenue Growth and Assumption'!F4)</f>
        <v>38652.406799999997</v>
      </c>
      <c r="G5" s="121">
        <f>'3 Statement model'!$I$7*(1+'Revenue Growth and Assumption'!G4)</f>
        <v>38313.350599999998</v>
      </c>
      <c r="H5" s="121">
        <f>'3 Statement model'!$I$7*(1+'Revenue Growth and Assumption'!H4)</f>
        <v>37974.294399999999</v>
      </c>
      <c r="I5" s="121">
        <f>'3 Statement model'!$I$7*(1+'Revenue Growth and Assumption'!I4)</f>
        <v>37635.2382</v>
      </c>
    </row>
    <row r="6" spans="2:12">
      <c r="B6" t="s">
        <v>104</v>
      </c>
      <c r="E6" t="s">
        <v>105</v>
      </c>
      <c r="F6" s="56">
        <f>MATCH(E6,B7:B9,)</f>
        <v>1</v>
      </c>
    </row>
    <row r="7" spans="2:12">
      <c r="B7" s="49" t="s">
        <v>105</v>
      </c>
      <c r="E7" s="54">
        <f>'Key Assumption '!G7</f>
        <v>0.15</v>
      </c>
      <c r="F7" s="54">
        <f>E7-'Key Assumption '!$G$8</f>
        <v>0.13999999999999999</v>
      </c>
      <c r="G7" s="54">
        <f>F7-'Key Assumption '!$G$8</f>
        <v>0.12999999999999998</v>
      </c>
      <c r="H7" s="54">
        <f>G7-'Key Assumption '!$G$8</f>
        <v>0.11999999999999998</v>
      </c>
      <c r="I7" s="54">
        <f>H7-'Key Assumption '!$G$8</f>
        <v>0.10999999999999999</v>
      </c>
    </row>
    <row r="8" spans="2:12">
      <c r="B8" s="49" t="s">
        <v>106</v>
      </c>
      <c r="E8" s="30">
        <f>'Key Assumption '!G7+5%</f>
        <v>0.2</v>
      </c>
      <c r="F8" s="30">
        <f>E8-'Key Assumption '!$G$8</f>
        <v>0.19</v>
      </c>
      <c r="G8" s="30">
        <f>F8-'Key Assumption '!$G$8</f>
        <v>0.18</v>
      </c>
      <c r="H8" s="30">
        <f>G8-'Key Assumption '!$G$8</f>
        <v>0.16999999999999998</v>
      </c>
      <c r="I8" s="30">
        <f>H8-'Key Assumption '!$G$8</f>
        <v>0.15999999999999998</v>
      </c>
    </row>
    <row r="9" spans="2:12">
      <c r="B9" s="49" t="s">
        <v>107</v>
      </c>
      <c r="E9" s="30">
        <f>'Key Assumption '!G7-2%</f>
        <v>0.13</v>
      </c>
      <c r="F9" s="30">
        <f>E9-'Key Assumption '!$G$8</f>
        <v>0.12000000000000001</v>
      </c>
      <c r="G9" s="30">
        <f>F9-'Key Assumption '!$G$8</f>
        <v>0.11000000000000001</v>
      </c>
      <c r="H9" s="30">
        <f>G9-'Key Assumption '!$G$8</f>
        <v>0.10000000000000002</v>
      </c>
      <c r="I9" s="30">
        <f>H9-'Key Assumption '!$G$8</f>
        <v>9.0000000000000024E-2</v>
      </c>
    </row>
    <row r="14" spans="2:12">
      <c r="H14" s="37"/>
    </row>
  </sheetData>
  <mergeCells count="1">
    <mergeCell ref="B2:L2"/>
  </mergeCells>
  <dataValidations count="1">
    <dataValidation type="list" allowBlank="1" showInputMessage="1" showErrorMessage="1" sqref="E6">
      <formula1>$B$7:$B$9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S276"/>
  <sheetViews>
    <sheetView topLeftCell="A273" zoomScale="80" zoomScaleNormal="80" workbookViewId="0">
      <selection activeCell="K303" sqref="K303"/>
    </sheetView>
  </sheetViews>
  <sheetFormatPr defaultRowHeight="15"/>
  <cols>
    <col min="1" max="1" width="1.85546875" customWidth="1"/>
    <col min="2" max="2" width="14.7109375" customWidth="1"/>
    <col min="3" max="3" width="10.5703125" style="48" customWidth="1"/>
    <col min="4" max="4" width="12.140625" customWidth="1"/>
    <col min="5" max="5" width="8" style="71" customWidth="1"/>
    <col min="6" max="6" width="9.85546875" style="48" bestFit="1" customWidth="1"/>
    <col min="7" max="7" width="13.7109375" customWidth="1"/>
    <col min="8" max="8" width="9.85546875" bestFit="1" customWidth="1"/>
    <col min="9" max="9" width="13.7109375" style="89" bestFit="1" customWidth="1"/>
    <col min="10" max="10" width="12.140625" customWidth="1"/>
    <col min="11" max="11" width="9.85546875" bestFit="1" customWidth="1"/>
    <col min="12" max="12" width="13.7109375" bestFit="1" customWidth="1"/>
    <col min="13" max="13" width="8.42578125" customWidth="1"/>
    <col min="15" max="15" width="13.7109375" customWidth="1"/>
    <col min="18" max="18" width="13.7109375" bestFit="1" customWidth="1"/>
  </cols>
  <sheetData>
    <row r="2" spans="2:19"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2:19" ht="22.5" customHeight="1">
      <c r="B3" s="160" t="s">
        <v>159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</row>
    <row r="4" spans="2:19">
      <c r="B4" s="27"/>
      <c r="C4" s="81" t="s">
        <v>147</v>
      </c>
      <c r="D4" s="36"/>
      <c r="E4" s="74"/>
      <c r="F4" s="94" t="s">
        <v>168</v>
      </c>
      <c r="G4" s="81"/>
      <c r="H4" s="36"/>
      <c r="I4" s="93" t="s">
        <v>162</v>
      </c>
      <c r="J4" s="36"/>
      <c r="K4" s="36"/>
      <c r="L4" s="81" t="s">
        <v>163</v>
      </c>
      <c r="M4" s="36"/>
      <c r="N4" s="36"/>
      <c r="O4" s="81" t="s">
        <v>150</v>
      </c>
      <c r="P4" s="36"/>
      <c r="Q4" s="36"/>
      <c r="R4" s="81" t="s">
        <v>151</v>
      </c>
      <c r="S4" s="36"/>
    </row>
    <row r="6" spans="2:19" ht="33" customHeight="1">
      <c r="B6" s="84" t="s">
        <v>2</v>
      </c>
      <c r="C6" s="72" t="s">
        <v>160</v>
      </c>
      <c r="D6" s="75" t="s">
        <v>161</v>
      </c>
      <c r="E6"/>
      <c r="F6" s="76" t="s">
        <v>160</v>
      </c>
      <c r="G6" s="76" t="s">
        <v>161</v>
      </c>
      <c r="I6" s="90" t="s">
        <v>160</v>
      </c>
      <c r="J6" s="76" t="s">
        <v>161</v>
      </c>
      <c r="L6" s="76" t="s">
        <v>160</v>
      </c>
      <c r="M6" s="76" t="s">
        <v>161</v>
      </c>
      <c r="O6" s="76" t="s">
        <v>160</v>
      </c>
      <c r="P6" s="76" t="s">
        <v>161</v>
      </c>
      <c r="R6" s="76" t="s">
        <v>160</v>
      </c>
      <c r="S6" s="76" t="s">
        <v>161</v>
      </c>
    </row>
    <row r="7" spans="2:19" ht="16.5">
      <c r="B7" s="85">
        <v>46082</v>
      </c>
      <c r="C7" s="80">
        <v>2279.5</v>
      </c>
      <c r="D7" s="82">
        <f>(C7/C8)-1</f>
        <v>-4.0695227674438117E-2</v>
      </c>
      <c r="E7"/>
      <c r="F7" s="88">
        <v>24450.45</v>
      </c>
      <c r="G7" s="79">
        <f>(F7/F8)-1</f>
        <v>-2.892132818876314E-2</v>
      </c>
      <c r="I7" s="91">
        <v>440.3</v>
      </c>
      <c r="J7" s="82">
        <f>LN(I7/I8)</f>
        <v>-3.5255770955946682E-2</v>
      </c>
      <c r="K7" s="42"/>
      <c r="L7" s="86">
        <v>189.19</v>
      </c>
      <c r="M7" s="82">
        <f>(L7/L8)-1</f>
        <v>-7.0365092624441017E-2</v>
      </c>
      <c r="N7" s="42"/>
      <c r="O7" s="78">
        <v>2774.8</v>
      </c>
      <c r="P7" s="82">
        <f>(O7/O8)-1</f>
        <v>-5.4679249139781283E-2</v>
      </c>
      <c r="Q7" s="42"/>
      <c r="R7" s="86">
        <v>873.5</v>
      </c>
      <c r="S7" s="82">
        <f>(R7/R8)-1</f>
        <v>-6.7570452604611364E-2</v>
      </c>
    </row>
    <row r="8" spans="2:19" ht="16.5">
      <c r="B8" s="85">
        <v>46075</v>
      </c>
      <c r="C8" s="80">
        <v>2376.1999999999998</v>
      </c>
      <c r="D8" s="82">
        <f t="shared" ref="D8:D71" si="0">(C8/C9)-1</f>
        <v>-2.1374737449034287E-2</v>
      </c>
      <c r="E8"/>
      <c r="F8" s="88">
        <v>25178.65</v>
      </c>
      <c r="G8" s="79">
        <f t="shared" ref="G8:G71" si="1">(F8/F9)-1</f>
        <v>-1.5353179840641329E-2</v>
      </c>
      <c r="I8" s="91">
        <v>456.1</v>
      </c>
      <c r="J8" s="82">
        <f t="shared" ref="J8:J71" si="2">LN(I8/I9)</f>
        <v>1.4261425268359521E-3</v>
      </c>
      <c r="K8" s="42"/>
      <c r="L8" s="86">
        <v>203.51</v>
      </c>
      <c r="M8" s="82">
        <f t="shared" ref="M8:M71" si="3">(L8/L9)-1</f>
        <v>2.4258895767275579E-2</v>
      </c>
      <c r="N8" s="42"/>
      <c r="O8" s="78">
        <v>2935.3</v>
      </c>
      <c r="P8" s="82">
        <f t="shared" ref="P8:P71" si="4">(O8/O9)-1</f>
        <v>-3.8992928234677815E-2</v>
      </c>
      <c r="Q8" s="42"/>
      <c r="R8" s="86">
        <v>936.8</v>
      </c>
      <c r="S8" s="82">
        <f t="shared" ref="S8:S71" si="5">(R8/R9)-1</f>
        <v>-7.6271186440678429E-3</v>
      </c>
    </row>
    <row r="9" spans="2:19" ht="16.5">
      <c r="B9" s="85">
        <v>46068</v>
      </c>
      <c r="C9" s="80">
        <v>2428.1</v>
      </c>
      <c r="D9" s="82">
        <f t="shared" si="0"/>
        <v>2.6073360378634058E-2</v>
      </c>
      <c r="E9"/>
      <c r="F9" s="88">
        <v>25571.25</v>
      </c>
      <c r="G9" s="79">
        <f t="shared" si="1"/>
        <v>3.9319071418195684E-3</v>
      </c>
      <c r="I9" s="91">
        <v>455.45</v>
      </c>
      <c r="J9" s="82">
        <f t="shared" si="2"/>
        <v>-1.427894989092E-2</v>
      </c>
      <c r="K9" s="42"/>
      <c r="L9" s="86">
        <v>198.69</v>
      </c>
      <c r="M9" s="82">
        <f t="shared" si="3"/>
        <v>-6.6989951507273604E-3</v>
      </c>
      <c r="N9" s="42"/>
      <c r="O9" s="78">
        <v>3054.4</v>
      </c>
      <c r="P9" s="82">
        <f t="shared" si="4"/>
        <v>3.5074045206547222E-2</v>
      </c>
      <c r="Q9" s="42"/>
      <c r="R9" s="86">
        <v>944</v>
      </c>
      <c r="S9" s="82">
        <f t="shared" si="5"/>
        <v>-2.9904429143972844E-2</v>
      </c>
    </row>
    <row r="10" spans="2:19" ht="16.5">
      <c r="B10" s="85">
        <v>46061</v>
      </c>
      <c r="C10" s="80">
        <v>2366.4</v>
      </c>
      <c r="D10" s="82">
        <f t="shared" si="0"/>
        <v>-1.4451709633084731E-2</v>
      </c>
      <c r="E10"/>
      <c r="F10" s="88">
        <v>25471.1</v>
      </c>
      <c r="G10" s="79">
        <f t="shared" si="1"/>
        <v>-8.6636023616685209E-3</v>
      </c>
      <c r="I10" s="91">
        <v>462</v>
      </c>
      <c r="J10" s="82">
        <f t="shared" si="2"/>
        <v>-2.2261193241468392E-2</v>
      </c>
      <c r="K10" s="42"/>
      <c r="L10" s="86">
        <v>200.03</v>
      </c>
      <c r="M10" s="82">
        <f t="shared" si="3"/>
        <v>-6.6806624679262905E-2</v>
      </c>
      <c r="N10" s="42"/>
      <c r="O10" s="78">
        <v>2950.9</v>
      </c>
      <c r="P10" s="82">
        <f t="shared" si="4"/>
        <v>1.106694990749002E-2</v>
      </c>
      <c r="Q10" s="42"/>
      <c r="R10" s="86">
        <v>973.1</v>
      </c>
      <c r="S10" s="82">
        <f t="shared" si="5"/>
        <v>-3.5484190702745555E-2</v>
      </c>
    </row>
    <row r="11" spans="2:19" ht="16.5">
      <c r="B11" s="85">
        <v>46054</v>
      </c>
      <c r="C11" s="80">
        <v>2401.1</v>
      </c>
      <c r="D11" s="82">
        <f t="shared" si="0"/>
        <v>-1.1201251904624732E-2</v>
      </c>
      <c r="E11"/>
      <c r="F11" s="88">
        <v>25693.7</v>
      </c>
      <c r="G11" s="79">
        <f t="shared" si="1"/>
        <v>1.4733034104574605E-2</v>
      </c>
      <c r="I11" s="91">
        <v>472.4</v>
      </c>
      <c r="J11" s="82">
        <f t="shared" si="2"/>
        <v>2.0315036285982392E-2</v>
      </c>
      <c r="K11" s="42"/>
      <c r="L11" s="86">
        <v>214.35</v>
      </c>
      <c r="M11" s="82">
        <f t="shared" si="3"/>
        <v>-6.8812719927016874E-2</v>
      </c>
      <c r="N11" s="42"/>
      <c r="O11" s="78">
        <v>2918.6</v>
      </c>
      <c r="P11" s="82">
        <f t="shared" si="4"/>
        <v>4.235714285714276E-2</v>
      </c>
      <c r="Q11" s="42"/>
      <c r="R11" s="78">
        <v>1008.9</v>
      </c>
      <c r="S11" s="82">
        <f t="shared" si="5"/>
        <v>-3.3990808119494509E-2</v>
      </c>
    </row>
    <row r="12" spans="2:19" ht="16.5">
      <c r="B12" s="85">
        <v>46047</v>
      </c>
      <c r="C12" s="80">
        <v>2428.3000000000002</v>
      </c>
      <c r="D12" s="82">
        <f t="shared" si="0"/>
        <v>-0.10186041350741559</v>
      </c>
      <c r="E12"/>
      <c r="F12" s="88">
        <v>25320.65</v>
      </c>
      <c r="G12" s="79">
        <f t="shared" si="1"/>
        <v>1.0858868641623332E-2</v>
      </c>
      <c r="I12" s="91">
        <v>462.9</v>
      </c>
      <c r="J12" s="82">
        <f t="shared" si="2"/>
        <v>-8.6056791756438891E-2</v>
      </c>
      <c r="K12" s="42"/>
      <c r="L12" s="86">
        <v>230.19</v>
      </c>
      <c r="M12" s="82">
        <f t="shared" si="3"/>
        <v>1.3695613880570612E-2</v>
      </c>
      <c r="N12" s="42"/>
      <c r="O12" s="78">
        <v>2800</v>
      </c>
      <c r="P12" s="82">
        <f t="shared" si="4"/>
        <v>-4.716531681753211E-2</v>
      </c>
      <c r="Q12" s="42"/>
      <c r="R12" s="78">
        <v>1044.4000000000001</v>
      </c>
      <c r="S12" s="82">
        <f t="shared" si="5"/>
        <v>-2.9594272076371997E-3</v>
      </c>
    </row>
    <row r="13" spans="2:19" ht="16.5">
      <c r="B13" s="85">
        <v>46040</v>
      </c>
      <c r="C13" s="80">
        <v>2703.7</v>
      </c>
      <c r="D13" s="82">
        <f t="shared" si="0"/>
        <v>-1.9297036526533473E-2</v>
      </c>
      <c r="E13"/>
      <c r="F13" s="88">
        <v>25048.65</v>
      </c>
      <c r="G13" s="79">
        <f t="shared" si="1"/>
        <v>-2.5130038315816394E-2</v>
      </c>
      <c r="I13" s="91">
        <v>504.5</v>
      </c>
      <c r="J13" s="82">
        <f t="shared" si="2"/>
        <v>-2.9780086944458651E-2</v>
      </c>
      <c r="K13" s="42"/>
      <c r="L13" s="86">
        <v>227.08</v>
      </c>
      <c r="M13" s="82">
        <f t="shared" si="3"/>
        <v>-1.8796180270492124E-2</v>
      </c>
      <c r="N13" s="42"/>
      <c r="O13" s="78">
        <v>2938.6</v>
      </c>
      <c r="P13" s="82">
        <f t="shared" si="4"/>
        <v>-4.8627298627298754E-2</v>
      </c>
      <c r="Q13" s="42"/>
      <c r="R13" s="78">
        <v>1047.5</v>
      </c>
      <c r="S13" s="82">
        <f t="shared" si="5"/>
        <v>-0.15278227110967335</v>
      </c>
    </row>
    <row r="14" spans="2:19" ht="16.5">
      <c r="B14" s="85">
        <v>46033</v>
      </c>
      <c r="C14" s="80">
        <v>2756.9</v>
      </c>
      <c r="D14" s="82">
        <f t="shared" si="0"/>
        <v>-2.4278888692266798E-2</v>
      </c>
      <c r="E14"/>
      <c r="F14" s="88">
        <v>25694.35</v>
      </c>
      <c r="G14" s="79">
        <f t="shared" si="1"/>
        <v>4.3024066222008273E-4</v>
      </c>
      <c r="I14" s="91">
        <v>519.75</v>
      </c>
      <c r="J14" s="82">
        <f t="shared" si="2"/>
        <v>1.0735631906333018E-2</v>
      </c>
      <c r="K14" s="42"/>
      <c r="L14" s="86">
        <v>231.43</v>
      </c>
      <c r="M14" s="82">
        <f t="shared" si="3"/>
        <v>-4.4308698270669744E-3</v>
      </c>
      <c r="N14" s="42"/>
      <c r="O14" s="78">
        <v>3088.8</v>
      </c>
      <c r="P14" s="82">
        <f t="shared" si="4"/>
        <v>-1.4391014391014312E-2</v>
      </c>
      <c r="Q14" s="42"/>
      <c r="R14" s="78">
        <v>1236.4000000000001</v>
      </c>
      <c r="S14" s="82">
        <f t="shared" si="5"/>
        <v>3.0075814379738608E-2</v>
      </c>
    </row>
    <row r="15" spans="2:19" ht="16.5">
      <c r="B15" s="85">
        <v>46026</v>
      </c>
      <c r="C15" s="80">
        <v>2825.5</v>
      </c>
      <c r="D15" s="82">
        <f t="shared" si="0"/>
        <v>1.9079564307869834E-2</v>
      </c>
      <c r="E15"/>
      <c r="F15" s="88">
        <v>25683.3</v>
      </c>
      <c r="G15" s="79">
        <f t="shared" si="1"/>
        <v>-2.4507616256877029E-2</v>
      </c>
      <c r="I15" s="91">
        <v>514.20000000000005</v>
      </c>
      <c r="J15" s="82">
        <f t="shared" si="2"/>
        <v>-1.9070210976331391E-2</v>
      </c>
      <c r="K15" s="42"/>
      <c r="L15" s="86">
        <v>232.46</v>
      </c>
      <c r="M15" s="82">
        <f t="shared" si="3"/>
        <v>-3.5755765720922539E-2</v>
      </c>
      <c r="N15" s="42"/>
      <c r="O15" s="78">
        <v>3133.9</v>
      </c>
      <c r="P15" s="82">
        <f t="shared" si="4"/>
        <v>-2.4193548387096753E-2</v>
      </c>
      <c r="Q15" s="42"/>
      <c r="R15" s="78">
        <v>1200.3</v>
      </c>
      <c r="S15" s="82">
        <f t="shared" si="5"/>
        <v>2.4846311475409832E-2</v>
      </c>
    </row>
    <row r="16" spans="2:19" ht="16.5">
      <c r="B16" s="85">
        <v>46019</v>
      </c>
      <c r="C16" s="80">
        <v>2772.6</v>
      </c>
      <c r="D16" s="82">
        <f t="shared" si="0"/>
        <v>9.5030038230474734E-3</v>
      </c>
      <c r="E16"/>
      <c r="F16" s="88">
        <v>26328.55</v>
      </c>
      <c r="G16" s="79">
        <f t="shared" si="1"/>
        <v>1.0991732681061128E-2</v>
      </c>
      <c r="I16" s="91">
        <v>524.1</v>
      </c>
      <c r="J16" s="82">
        <f t="shared" si="2"/>
        <v>-3.3675742299180036E-2</v>
      </c>
      <c r="K16" s="42"/>
      <c r="L16" s="86">
        <v>241.08</v>
      </c>
      <c r="M16" s="82">
        <f t="shared" si="3"/>
        <v>1.5415718979024717E-2</v>
      </c>
      <c r="N16" s="42"/>
      <c r="O16" s="78">
        <v>3211.6</v>
      </c>
      <c r="P16" s="82">
        <f t="shared" si="4"/>
        <v>2.8106793008515263E-2</v>
      </c>
      <c r="Q16" s="42"/>
      <c r="R16" s="78">
        <v>1171.2</v>
      </c>
      <c r="S16" s="82">
        <f t="shared" si="5"/>
        <v>3.8758314855875886E-2</v>
      </c>
    </row>
    <row r="17" spans="2:19" ht="16.5">
      <c r="B17" s="85">
        <v>46012</v>
      </c>
      <c r="C17" s="80">
        <v>2746.5</v>
      </c>
      <c r="D17" s="82">
        <f t="shared" si="0"/>
        <v>-1.9072109718204278E-2</v>
      </c>
      <c r="E17"/>
      <c r="F17" s="88">
        <v>26042.3</v>
      </c>
      <c r="G17" s="79">
        <f t="shared" si="1"/>
        <v>2.9230081952060782E-3</v>
      </c>
      <c r="I17" s="91">
        <v>542.04999999999995</v>
      </c>
      <c r="J17" s="82">
        <f t="shared" si="2"/>
        <v>7.4996879455162301E-3</v>
      </c>
      <c r="K17" s="42"/>
      <c r="L17" s="86">
        <v>237.42</v>
      </c>
      <c r="M17" s="82">
        <f t="shared" si="3"/>
        <v>6.475917122611885E-2</v>
      </c>
      <c r="N17" s="42"/>
      <c r="O17" s="78">
        <v>3123.8</v>
      </c>
      <c r="P17" s="82">
        <f t="shared" si="4"/>
        <v>-8.1285324188734576E-3</v>
      </c>
      <c r="Q17" s="42"/>
      <c r="R17" s="78">
        <v>1127.5</v>
      </c>
      <c r="S17" s="82">
        <f t="shared" si="5"/>
        <v>-5.1405014302540741E-2</v>
      </c>
    </row>
    <row r="18" spans="2:19" ht="16.5">
      <c r="B18" s="85">
        <v>46005</v>
      </c>
      <c r="C18" s="80">
        <v>2799.9</v>
      </c>
      <c r="D18" s="82">
        <f t="shared" si="0"/>
        <v>1.26953125E-2</v>
      </c>
      <c r="E18"/>
      <c r="F18" s="88">
        <v>25966.400000000001</v>
      </c>
      <c r="G18" s="79">
        <f t="shared" si="1"/>
        <v>-3.0924925951022475E-3</v>
      </c>
      <c r="I18" s="91">
        <v>538</v>
      </c>
      <c r="J18" s="82">
        <f t="shared" si="2"/>
        <v>-6.0227191549152136E-3</v>
      </c>
      <c r="K18" s="42"/>
      <c r="L18" s="86">
        <v>222.98</v>
      </c>
      <c r="M18" s="82">
        <f t="shared" si="3"/>
        <v>-2.3266219239373997E-3</v>
      </c>
      <c r="N18" s="42"/>
      <c r="O18" s="78">
        <v>3149.4</v>
      </c>
      <c r="P18" s="82">
        <f t="shared" si="4"/>
        <v>-0.12545818060646441</v>
      </c>
      <c r="Q18" s="42"/>
      <c r="R18" s="78">
        <v>1188.5999999999999</v>
      </c>
      <c r="S18" s="82">
        <f t="shared" si="5"/>
        <v>-3.6712861658157236E-2</v>
      </c>
    </row>
    <row r="19" spans="2:19" ht="16.5">
      <c r="B19" s="85">
        <v>45998</v>
      </c>
      <c r="C19" s="80">
        <v>2764.8</v>
      </c>
      <c r="D19" s="82">
        <f t="shared" si="0"/>
        <v>-6.8620515411824123E-2</v>
      </c>
      <c r="E19"/>
      <c r="F19" s="88">
        <v>26046.95</v>
      </c>
      <c r="G19" s="79">
        <f t="shared" si="1"/>
        <v>-5.3271825696113995E-3</v>
      </c>
      <c r="I19" s="91">
        <v>541.25</v>
      </c>
      <c r="J19" s="82">
        <f t="shared" si="2"/>
        <v>-2.4185527473722095E-2</v>
      </c>
      <c r="K19" s="42"/>
      <c r="L19" s="86">
        <v>223.5</v>
      </c>
      <c r="M19" s="82">
        <f t="shared" si="3"/>
        <v>-2.0209548025075685E-2</v>
      </c>
      <c r="N19" s="42"/>
      <c r="O19" s="78">
        <v>3601.2</v>
      </c>
      <c r="P19" s="82">
        <f t="shared" si="4"/>
        <v>2.4990038139693693E-2</v>
      </c>
      <c r="Q19" s="42"/>
      <c r="R19" s="78">
        <v>1233.9000000000001</v>
      </c>
      <c r="S19" s="82">
        <f t="shared" si="5"/>
        <v>-1.2950222581949999E-3</v>
      </c>
    </row>
    <row r="20" spans="2:19" ht="16.5">
      <c r="B20" s="85">
        <v>45991</v>
      </c>
      <c r="C20" s="80">
        <v>2968.5</v>
      </c>
      <c r="D20" s="82">
        <f t="shared" si="0"/>
        <v>3.2737266907876483E-2</v>
      </c>
      <c r="E20"/>
      <c r="F20" s="88">
        <v>26186.45</v>
      </c>
      <c r="G20" s="79">
        <f t="shared" si="1"/>
        <v>-6.297000910202577E-4</v>
      </c>
      <c r="I20" s="91">
        <v>554.5</v>
      </c>
      <c r="J20" s="82">
        <f t="shared" si="2"/>
        <v>-1.8050709028967236E-2</v>
      </c>
      <c r="K20" s="42"/>
      <c r="L20" s="86">
        <v>228.11</v>
      </c>
      <c r="M20" s="82">
        <f t="shared" si="3"/>
        <v>-3.5434902110025757E-2</v>
      </c>
      <c r="N20" s="42"/>
      <c r="O20" s="78">
        <v>3513.4</v>
      </c>
      <c r="P20" s="82">
        <f t="shared" si="4"/>
        <v>6.1193669203817747E-2</v>
      </c>
      <c r="Q20" s="42"/>
      <c r="R20" s="78">
        <v>1235.5</v>
      </c>
      <c r="S20" s="82">
        <f t="shared" si="5"/>
        <v>-3.7510224749737198E-2</v>
      </c>
    </row>
    <row r="21" spans="2:19" ht="16.5">
      <c r="B21" s="85">
        <v>45984</v>
      </c>
      <c r="C21" s="80">
        <v>2874.4</v>
      </c>
      <c r="D21" s="82">
        <f t="shared" si="0"/>
        <v>-7.6479176805943627E-4</v>
      </c>
      <c r="E21"/>
      <c r="F21" s="88">
        <v>26202.95</v>
      </c>
      <c r="G21" s="79">
        <f t="shared" si="1"/>
        <v>5.1710612375637233E-3</v>
      </c>
      <c r="I21" s="91">
        <v>564.6</v>
      </c>
      <c r="J21" s="82">
        <f t="shared" si="2"/>
        <v>-2.6134424515364952E-2</v>
      </c>
      <c r="K21" s="42"/>
      <c r="L21" s="86">
        <v>236.49</v>
      </c>
      <c r="M21" s="82">
        <f t="shared" si="3"/>
        <v>1.5850515463917469E-2</v>
      </c>
      <c r="N21" s="42"/>
      <c r="O21" s="78">
        <v>3310.8</v>
      </c>
      <c r="P21" s="82">
        <f t="shared" si="4"/>
        <v>-2.1920236336779864E-2</v>
      </c>
      <c r="Q21" s="42"/>
      <c r="R21" s="78">
        <v>1283.6500000000001</v>
      </c>
      <c r="S21" s="82">
        <f t="shared" si="5"/>
        <v>1.9122697471121164E-3</v>
      </c>
    </row>
    <row r="22" spans="2:19" ht="16.5">
      <c r="B22" s="85">
        <v>45977</v>
      </c>
      <c r="C22" s="80">
        <v>2876.6</v>
      </c>
      <c r="D22" s="82">
        <f t="shared" si="0"/>
        <v>-1.025323424167357E-2</v>
      </c>
      <c r="E22"/>
      <c r="F22" s="88">
        <v>26068.15</v>
      </c>
      <c r="G22" s="79">
        <f t="shared" si="1"/>
        <v>6.1018793865701415E-3</v>
      </c>
      <c r="I22" s="91">
        <v>579.54999999999995</v>
      </c>
      <c r="J22" s="82">
        <f t="shared" si="2"/>
        <v>0</v>
      </c>
      <c r="K22" s="42"/>
      <c r="L22" s="86">
        <v>232.8</v>
      </c>
      <c r="M22" s="82">
        <f t="shared" si="3"/>
        <v>-6.4308681672025747E-2</v>
      </c>
      <c r="N22" s="42"/>
      <c r="O22" s="78">
        <v>3385</v>
      </c>
      <c r="P22" s="82">
        <f t="shared" si="4"/>
        <v>7.6504033578423947E-3</v>
      </c>
      <c r="Q22" s="42"/>
      <c r="R22" s="78">
        <v>1281.2</v>
      </c>
      <c r="S22" s="82">
        <f t="shared" si="5"/>
        <v>-1.3550970126270379E-2</v>
      </c>
    </row>
    <row r="23" spans="2:19" ht="16.5">
      <c r="B23" s="85">
        <v>45970</v>
      </c>
      <c r="C23" s="80">
        <v>2906.4</v>
      </c>
      <c r="D23" s="82">
        <f t="shared" si="0"/>
        <v>0.11194429566148889</v>
      </c>
      <c r="E23"/>
      <c r="F23" s="88">
        <v>25910.05</v>
      </c>
      <c r="G23" s="79">
        <f t="shared" si="1"/>
        <v>1.6387301263518728E-2</v>
      </c>
      <c r="I23" s="91">
        <v>579.54999999999995</v>
      </c>
      <c r="J23" s="82">
        <f t="shared" si="2"/>
        <v>8.7395761567205368E-2</v>
      </c>
      <c r="K23" s="42"/>
      <c r="L23" s="86">
        <v>248.8</v>
      </c>
      <c r="M23" s="82">
        <f t="shared" si="3"/>
        <v>1.0068203962325439E-2</v>
      </c>
      <c r="N23" s="42"/>
      <c r="O23" s="78">
        <v>3359.3</v>
      </c>
      <c r="P23" s="82">
        <f t="shared" si="4"/>
        <v>2.9733623517150365E-2</v>
      </c>
      <c r="Q23" s="42"/>
      <c r="R23" s="78">
        <v>1298.8</v>
      </c>
      <c r="S23" s="82">
        <f t="shared" si="5"/>
        <v>0.29349666367891647</v>
      </c>
    </row>
    <row r="24" spans="2:19" ht="16.5">
      <c r="B24" s="85">
        <v>45963</v>
      </c>
      <c r="C24" s="80">
        <v>2613.8000000000002</v>
      </c>
      <c r="D24" s="82">
        <f t="shared" si="0"/>
        <v>4.1022781583559098E-2</v>
      </c>
      <c r="E24"/>
      <c r="F24" s="88">
        <v>25492.3</v>
      </c>
      <c r="G24" s="79">
        <f t="shared" si="1"/>
        <v>-8.9339517379996014E-3</v>
      </c>
      <c r="I24" s="91">
        <v>531.04999999999995</v>
      </c>
      <c r="J24" s="82">
        <f t="shared" si="2"/>
        <v>-2.0594307498743972E-2</v>
      </c>
      <c r="K24" s="42"/>
      <c r="L24" s="86">
        <v>246.32</v>
      </c>
      <c r="M24" s="82">
        <f t="shared" si="3"/>
        <v>-6.6139699951606179E-3</v>
      </c>
      <c r="N24" s="42"/>
      <c r="O24" s="78">
        <v>3262.3</v>
      </c>
      <c r="P24" s="82">
        <f t="shared" si="4"/>
        <v>6.354690440201205E-3</v>
      </c>
      <c r="Q24" s="42"/>
      <c r="R24" s="78">
        <v>1004.1</v>
      </c>
      <c r="S24" s="82">
        <f t="shared" si="5"/>
        <v>4.2004200420042714E-3</v>
      </c>
    </row>
    <row r="25" spans="2:19" ht="16.5">
      <c r="B25" s="85">
        <v>45956</v>
      </c>
      <c r="C25" s="80">
        <v>2510.8000000000002</v>
      </c>
      <c r="D25" s="82">
        <f t="shared" si="0"/>
        <v>3.6776463063641351E-3</v>
      </c>
      <c r="E25"/>
      <c r="F25" s="88">
        <v>25722.1</v>
      </c>
      <c r="G25" s="79">
        <f t="shared" si="1"/>
        <v>-2.8319277073404203E-3</v>
      </c>
      <c r="I25" s="91">
        <v>542.1</v>
      </c>
      <c r="J25" s="82">
        <f t="shared" si="2"/>
        <v>-6.5272582928062447E-3</v>
      </c>
      <c r="K25" s="42"/>
      <c r="L25" s="86">
        <v>247.96</v>
      </c>
      <c r="M25" s="82">
        <f t="shared" si="3"/>
        <v>-2.3664212308540322E-2</v>
      </c>
      <c r="N25" s="42"/>
      <c r="O25" s="78">
        <v>3241.7</v>
      </c>
      <c r="P25" s="82">
        <f t="shared" si="4"/>
        <v>-1.2730318257956452E-2</v>
      </c>
      <c r="Q25" s="42"/>
      <c r="R25" s="86">
        <v>999.9</v>
      </c>
      <c r="S25" s="82">
        <f t="shared" si="5"/>
        <v>-3.1667635095874447E-2</v>
      </c>
    </row>
    <row r="26" spans="2:19" ht="16.5">
      <c r="B26" s="85">
        <v>45949</v>
      </c>
      <c r="C26" s="80">
        <v>2501.6</v>
      </c>
      <c r="D26" s="82">
        <f t="shared" si="0"/>
        <v>-2.4722864662254374E-3</v>
      </c>
      <c r="E26"/>
      <c r="F26" s="88">
        <v>25795.15</v>
      </c>
      <c r="G26" s="79">
        <f t="shared" si="1"/>
        <v>3.3177945417808274E-3</v>
      </c>
      <c r="I26" s="91">
        <v>545.65</v>
      </c>
      <c r="J26" s="82">
        <f t="shared" si="2"/>
        <v>1.3754529700461696E-3</v>
      </c>
      <c r="K26" s="42"/>
      <c r="L26" s="86">
        <v>253.97</v>
      </c>
      <c r="M26" s="82">
        <f t="shared" si="3"/>
        <v>2.8034431019505757E-3</v>
      </c>
      <c r="N26" s="42"/>
      <c r="O26" s="78">
        <v>3283.5</v>
      </c>
      <c r="P26" s="82">
        <f t="shared" si="4"/>
        <v>-3.295635271249342E-2</v>
      </c>
      <c r="Q26" s="42"/>
      <c r="R26" s="78">
        <v>1032.5999999999999</v>
      </c>
      <c r="S26" s="82">
        <f t="shared" si="5"/>
        <v>3.8887808671981272E-3</v>
      </c>
    </row>
    <row r="27" spans="2:19" ht="16.5">
      <c r="B27" s="85">
        <v>45942</v>
      </c>
      <c r="C27" s="80">
        <v>2507.8000000000002</v>
      </c>
      <c r="D27" s="82">
        <f t="shared" si="0"/>
        <v>7.1617810443552088E-2</v>
      </c>
      <c r="E27"/>
      <c r="F27" s="88">
        <v>25709.85</v>
      </c>
      <c r="G27" s="79">
        <f t="shared" si="1"/>
        <v>1.6788377459675319E-2</v>
      </c>
      <c r="I27" s="91">
        <v>544.9</v>
      </c>
      <c r="J27" s="82">
        <f t="shared" si="2"/>
        <v>1.805521015866805E-2</v>
      </c>
      <c r="K27" s="42"/>
      <c r="L27" s="86">
        <v>253.26</v>
      </c>
      <c r="M27" s="82">
        <f t="shared" si="3"/>
        <v>2.3272727272727334E-2</v>
      </c>
      <c r="N27" s="42"/>
      <c r="O27" s="78">
        <v>3395.4</v>
      </c>
      <c r="P27" s="82">
        <f t="shared" si="4"/>
        <v>1.5097611288827695E-2</v>
      </c>
      <c r="Q27" s="42"/>
      <c r="R27" s="78">
        <v>1028.5999999999999</v>
      </c>
      <c r="S27" s="82">
        <f t="shared" si="5"/>
        <v>-2.1685371885105775E-2</v>
      </c>
    </row>
    <row r="28" spans="2:19" ht="16.5">
      <c r="B28" s="85">
        <v>45935</v>
      </c>
      <c r="C28" s="80">
        <v>2340.1999999999998</v>
      </c>
      <c r="D28" s="82">
        <f t="shared" si="0"/>
        <v>-7.4645856306727598E-3</v>
      </c>
      <c r="E28"/>
      <c r="F28" s="88">
        <v>25285.35</v>
      </c>
      <c r="G28" s="79">
        <f t="shared" si="1"/>
        <v>1.5710455225604214E-2</v>
      </c>
      <c r="I28" s="91">
        <v>535.15</v>
      </c>
      <c r="J28" s="82">
        <f t="shared" si="2"/>
        <v>-1.382531879444686E-2</v>
      </c>
      <c r="K28" s="42"/>
      <c r="L28" s="86">
        <v>247.5</v>
      </c>
      <c r="M28" s="82">
        <f t="shared" si="3"/>
        <v>-1.9258202567760341E-2</v>
      </c>
      <c r="N28" s="42"/>
      <c r="O28" s="78">
        <v>3344.9</v>
      </c>
      <c r="P28" s="82">
        <f t="shared" si="4"/>
        <v>3.2896704348339689E-4</v>
      </c>
      <c r="Q28" s="42"/>
      <c r="R28" s="78">
        <v>1051.4000000000001</v>
      </c>
      <c r="S28" s="82">
        <f t="shared" si="5"/>
        <v>-3.016326907111877E-2</v>
      </c>
    </row>
    <row r="29" spans="2:19" ht="16.5">
      <c r="B29" s="85">
        <v>45928</v>
      </c>
      <c r="C29" s="80">
        <v>2357.8000000000002</v>
      </c>
      <c r="D29" s="82">
        <f t="shared" si="0"/>
        <v>6.4025951852484386E-3</v>
      </c>
      <c r="E29"/>
      <c r="F29" s="88">
        <v>24894.25</v>
      </c>
      <c r="G29" s="79">
        <f t="shared" si="1"/>
        <v>9.7162001565624934E-3</v>
      </c>
      <c r="I29" s="91">
        <v>542.6</v>
      </c>
      <c r="J29" s="82">
        <f t="shared" si="2"/>
        <v>3.9759007657609514E-2</v>
      </c>
      <c r="K29" s="42"/>
      <c r="L29" s="86">
        <v>252.36</v>
      </c>
      <c r="M29" s="82">
        <f t="shared" si="3"/>
        <v>2.3440668342931348E-2</v>
      </c>
      <c r="N29" s="42"/>
      <c r="O29" s="78">
        <v>3343.8</v>
      </c>
      <c r="P29" s="82">
        <f t="shared" si="4"/>
        <v>-3.2194598461813273E-3</v>
      </c>
      <c r="Q29" s="42"/>
      <c r="R29" s="78">
        <v>1084.0999999999999</v>
      </c>
      <c r="S29" s="82">
        <f t="shared" si="5"/>
        <v>-5.9600220062351328E-3</v>
      </c>
    </row>
    <row r="30" spans="2:19" ht="16.5">
      <c r="B30" s="85">
        <v>45921</v>
      </c>
      <c r="C30" s="80">
        <v>2342.8000000000002</v>
      </c>
      <c r="D30" s="82">
        <f t="shared" si="0"/>
        <v>-5.5969698190756145E-2</v>
      </c>
      <c r="E30"/>
      <c r="F30" s="88">
        <v>24654.7</v>
      </c>
      <c r="G30" s="79">
        <f t="shared" si="1"/>
        <v>-2.6546715863079107E-2</v>
      </c>
      <c r="I30" s="91">
        <v>521.45000000000005</v>
      </c>
      <c r="J30" s="82">
        <f t="shared" si="2"/>
        <v>-1.9277934271868358E-2</v>
      </c>
      <c r="K30" s="42"/>
      <c r="L30" s="86">
        <v>246.58</v>
      </c>
      <c r="M30" s="82">
        <f t="shared" si="3"/>
        <v>-2.092515386142535E-2</v>
      </c>
      <c r="N30" s="42"/>
      <c r="O30" s="78">
        <v>3354.6</v>
      </c>
      <c r="P30" s="82">
        <f t="shared" si="4"/>
        <v>-5.9855398838450924E-3</v>
      </c>
      <c r="Q30" s="42"/>
      <c r="R30" s="78">
        <v>1090.5999999999999</v>
      </c>
      <c r="S30" s="82">
        <f t="shared" si="5"/>
        <v>-2.8851291184327721E-2</v>
      </c>
    </row>
    <row r="31" spans="2:19" ht="16.5">
      <c r="B31" s="85">
        <v>45914</v>
      </c>
      <c r="C31" s="80">
        <v>2481.6999999999998</v>
      </c>
      <c r="D31" s="82">
        <f t="shared" si="0"/>
        <v>-2.537014491615297E-2</v>
      </c>
      <c r="E31"/>
      <c r="F31" s="88">
        <v>25327.05</v>
      </c>
      <c r="G31" s="79">
        <f t="shared" si="1"/>
        <v>8.4833160786812467E-3</v>
      </c>
      <c r="I31" s="91">
        <v>531.6</v>
      </c>
      <c r="J31" s="82">
        <f t="shared" si="2"/>
        <v>-1.4473383982347838E-2</v>
      </c>
      <c r="K31" s="42"/>
      <c r="L31" s="86">
        <v>251.85</v>
      </c>
      <c r="M31" s="82">
        <f t="shared" si="3"/>
        <v>1.7411327462228288E-2</v>
      </c>
      <c r="N31" s="42"/>
      <c r="O31" s="78">
        <v>3374.8</v>
      </c>
      <c r="P31" s="82">
        <f t="shared" si="4"/>
        <v>2.5548095775653756E-3</v>
      </c>
      <c r="Q31" s="42"/>
      <c r="R31" s="78">
        <v>1123</v>
      </c>
      <c r="S31" s="82">
        <f t="shared" si="5"/>
        <v>-2.049716528565193E-2</v>
      </c>
    </row>
    <row r="32" spans="2:19" ht="16.5">
      <c r="B32" s="85">
        <v>45907</v>
      </c>
      <c r="C32" s="80">
        <v>2546.3000000000002</v>
      </c>
      <c r="D32" s="82">
        <f t="shared" si="0"/>
        <v>-1.30237606108764E-2</v>
      </c>
      <c r="E32"/>
      <c r="F32" s="88">
        <v>25114</v>
      </c>
      <c r="G32" s="79">
        <f t="shared" si="1"/>
        <v>1.5076189321369338E-2</v>
      </c>
      <c r="I32" s="91">
        <v>539.35</v>
      </c>
      <c r="J32" s="82">
        <f t="shared" si="2"/>
        <v>1.205881134949946E-3</v>
      </c>
      <c r="K32" s="42"/>
      <c r="L32" s="86">
        <v>247.54</v>
      </c>
      <c r="M32" s="82">
        <f t="shared" si="3"/>
        <v>1.9186429512516368E-2</v>
      </c>
      <c r="N32" s="42"/>
      <c r="O32" s="78">
        <v>3366.2</v>
      </c>
      <c r="P32" s="82">
        <f t="shared" si="4"/>
        <v>-4.9071774861062512E-3</v>
      </c>
      <c r="Q32" s="42"/>
      <c r="R32" s="78">
        <v>1146.5</v>
      </c>
      <c r="S32" s="82">
        <f t="shared" si="5"/>
        <v>9.603631918979616E-4</v>
      </c>
    </row>
    <row r="33" spans="2:19" ht="16.5">
      <c r="B33" s="85">
        <v>45900</v>
      </c>
      <c r="C33" s="80">
        <v>2579.9</v>
      </c>
      <c r="D33" s="82">
        <f t="shared" si="0"/>
        <v>2.4338918446756175E-2</v>
      </c>
      <c r="E33"/>
      <c r="F33" s="88">
        <v>24741</v>
      </c>
      <c r="G33" s="79">
        <f t="shared" si="1"/>
        <v>1.2860847796584585E-2</v>
      </c>
      <c r="I33" s="91">
        <v>538.70000000000005</v>
      </c>
      <c r="J33" s="82">
        <f t="shared" si="2"/>
        <v>1.0637405520643675E-2</v>
      </c>
      <c r="K33" s="42"/>
      <c r="L33" s="86">
        <v>242.88</v>
      </c>
      <c r="M33" s="82">
        <f t="shared" si="3"/>
        <v>1.2042168423684219E-2</v>
      </c>
      <c r="N33" s="42"/>
      <c r="O33" s="78">
        <v>3382.8</v>
      </c>
      <c r="P33" s="82">
        <f t="shared" si="4"/>
        <v>-8.1510584647861428E-3</v>
      </c>
      <c r="Q33" s="42"/>
      <c r="R33" s="78">
        <v>1145.4000000000001</v>
      </c>
      <c r="S33" s="82">
        <f t="shared" si="5"/>
        <v>4.1556788214967666E-2</v>
      </c>
    </row>
    <row r="34" spans="2:19" ht="16.5">
      <c r="B34" s="85">
        <v>45893</v>
      </c>
      <c r="C34" s="80">
        <v>2518.6</v>
      </c>
      <c r="D34" s="82">
        <f t="shared" si="0"/>
        <v>5.6298662407665567E-3</v>
      </c>
      <c r="E34"/>
      <c r="F34" s="88">
        <v>24426.85</v>
      </c>
      <c r="G34" s="79">
        <f t="shared" si="1"/>
        <v>-1.7822606262138052E-2</v>
      </c>
      <c r="I34" s="91">
        <v>533</v>
      </c>
      <c r="J34" s="82">
        <f t="shared" si="2"/>
        <v>1.1320875624482293E-2</v>
      </c>
      <c r="K34" s="42"/>
      <c r="L34" s="86">
        <v>239.99</v>
      </c>
      <c r="M34" s="82">
        <f t="shared" si="3"/>
        <v>3.1682572435732137E-2</v>
      </c>
      <c r="N34" s="42"/>
      <c r="O34" s="78">
        <v>3410.6</v>
      </c>
      <c r="P34" s="82">
        <f t="shared" si="4"/>
        <v>3.2356747852688716E-3</v>
      </c>
      <c r="Q34" s="42"/>
      <c r="R34" s="78">
        <v>1099.7</v>
      </c>
      <c r="S34" s="82">
        <f t="shared" si="5"/>
        <v>-2.9819144243493523E-2</v>
      </c>
    </row>
    <row r="35" spans="2:19" ht="16.5">
      <c r="B35" s="85">
        <v>45886</v>
      </c>
      <c r="C35" s="80">
        <v>2504.5</v>
      </c>
      <c r="D35" s="82">
        <f t="shared" si="0"/>
        <v>-9.5701348519001694E-3</v>
      </c>
      <c r="E35"/>
      <c r="F35" s="88">
        <v>24870.1</v>
      </c>
      <c r="G35" s="79">
        <f t="shared" si="1"/>
        <v>9.6949815884666002E-3</v>
      </c>
      <c r="I35" s="91">
        <v>527</v>
      </c>
      <c r="J35" s="82">
        <f t="shared" si="2"/>
        <v>-1.2164797096108002E-2</v>
      </c>
      <c r="K35" s="42"/>
      <c r="L35" s="86">
        <v>232.62</v>
      </c>
      <c r="M35" s="82">
        <f t="shared" si="3"/>
        <v>-1.2019537056699892E-2</v>
      </c>
      <c r="N35" s="42"/>
      <c r="O35" s="78">
        <v>3399.6</v>
      </c>
      <c r="P35" s="82">
        <f t="shared" si="4"/>
        <v>-6.2554808535516537E-3</v>
      </c>
      <c r="Q35" s="42"/>
      <c r="R35" s="78">
        <v>1133.5</v>
      </c>
      <c r="S35" s="82">
        <f t="shared" si="5"/>
        <v>2.3753612716763017E-2</v>
      </c>
    </row>
    <row r="36" spans="2:19" ht="16.5">
      <c r="B36" s="85">
        <v>45879</v>
      </c>
      <c r="C36" s="80">
        <v>2528.6999999999998</v>
      </c>
      <c r="D36" s="82">
        <f t="shared" si="0"/>
        <v>2.1449345613184567E-2</v>
      </c>
      <c r="E36"/>
      <c r="F36" s="88">
        <v>24631.3</v>
      </c>
      <c r="G36" s="79">
        <f t="shared" si="1"/>
        <v>1.100015186776826E-2</v>
      </c>
      <c r="I36" s="91">
        <v>533.45000000000005</v>
      </c>
      <c r="J36" s="82">
        <f t="shared" si="2"/>
        <v>-3.2460203500080539E-2</v>
      </c>
      <c r="K36" s="42"/>
      <c r="L36" s="86">
        <v>235.45</v>
      </c>
      <c r="M36" s="82">
        <f t="shared" si="3"/>
        <v>1.0992313967967737E-2</v>
      </c>
      <c r="N36" s="42"/>
      <c r="O36" s="78">
        <v>3421</v>
      </c>
      <c r="P36" s="82">
        <f t="shared" si="4"/>
        <v>-1.9377400676489076E-2</v>
      </c>
      <c r="Q36" s="42"/>
      <c r="R36" s="78">
        <v>1107.2</v>
      </c>
      <c r="S36" s="82">
        <f t="shared" si="5"/>
        <v>-3.9222492190211788E-2</v>
      </c>
    </row>
    <row r="37" spans="2:19" ht="16.5">
      <c r="B37" s="85">
        <v>45872</v>
      </c>
      <c r="C37" s="80">
        <v>2475.6</v>
      </c>
      <c r="D37" s="82">
        <f t="shared" si="0"/>
        <v>1.8346359522830147E-2</v>
      </c>
      <c r="E37"/>
      <c r="F37" s="88">
        <v>24363.3</v>
      </c>
      <c r="G37" s="79">
        <f t="shared" si="1"/>
        <v>-8.2249998473459263E-3</v>
      </c>
      <c r="I37" s="91">
        <v>551.04999999999995</v>
      </c>
      <c r="J37" s="82">
        <f t="shared" si="2"/>
        <v>-2.8357372192707113E-2</v>
      </c>
      <c r="K37" s="42"/>
      <c r="L37" s="86">
        <v>232.89</v>
      </c>
      <c r="M37" s="82">
        <f t="shared" si="3"/>
        <v>-6.8626274745051119E-2</v>
      </c>
      <c r="N37" s="42"/>
      <c r="O37" s="78">
        <v>3488.6</v>
      </c>
      <c r="P37" s="82">
        <f t="shared" si="4"/>
        <v>2.3934924589184003E-3</v>
      </c>
      <c r="Q37" s="42"/>
      <c r="R37" s="78">
        <v>1152.4000000000001</v>
      </c>
      <c r="S37" s="82">
        <f t="shared" si="5"/>
        <v>-4.3333886767391472E-2</v>
      </c>
    </row>
    <row r="38" spans="2:19" ht="16.5">
      <c r="B38" s="85">
        <v>45865</v>
      </c>
      <c r="C38" s="80">
        <v>2431</v>
      </c>
      <c r="D38" s="82">
        <f t="shared" si="0"/>
        <v>4.0578717575550094E-2</v>
      </c>
      <c r="E38"/>
      <c r="F38" s="88">
        <v>24565.35</v>
      </c>
      <c r="G38" s="79">
        <f t="shared" si="1"/>
        <v>-1.0937311269477057E-2</v>
      </c>
      <c r="I38" s="91">
        <v>566.9</v>
      </c>
      <c r="J38" s="82">
        <f t="shared" si="2"/>
        <v>1.5823958948947076E-2</v>
      </c>
      <c r="K38" s="42"/>
      <c r="L38" s="86">
        <v>250.05</v>
      </c>
      <c r="M38" s="82">
        <f t="shared" si="3"/>
        <v>2.0820575627679139E-2</v>
      </c>
      <c r="N38" s="42"/>
      <c r="O38" s="78">
        <v>3480.27</v>
      </c>
      <c r="P38" s="82">
        <f t="shared" si="4"/>
        <v>-3.4751786818727703E-2</v>
      </c>
      <c r="Q38" s="42"/>
      <c r="R38" s="78">
        <v>1204.5999999999999</v>
      </c>
      <c r="S38" s="82">
        <f t="shared" si="5"/>
        <v>5.6296036478428402E-2</v>
      </c>
    </row>
    <row r="39" spans="2:19" ht="16.5">
      <c r="B39" s="85">
        <v>45858</v>
      </c>
      <c r="C39" s="80">
        <v>2336.1999999999998</v>
      </c>
      <c r="D39" s="82">
        <f t="shared" si="0"/>
        <v>-1.9392209536601812E-2</v>
      </c>
      <c r="E39"/>
      <c r="F39" s="88">
        <v>24837</v>
      </c>
      <c r="G39" s="79">
        <f t="shared" si="1"/>
        <v>-5.2626519921180615E-3</v>
      </c>
      <c r="I39" s="91">
        <v>558</v>
      </c>
      <c r="J39" s="82">
        <f t="shared" si="2"/>
        <v>-3.3136623589428253E-2</v>
      </c>
      <c r="K39" s="42"/>
      <c r="L39" s="86">
        <v>244.95</v>
      </c>
      <c r="M39" s="82">
        <f t="shared" si="3"/>
        <v>-1.2696493349455884E-2</v>
      </c>
      <c r="N39" s="42"/>
      <c r="O39" s="78">
        <v>3605.57</v>
      </c>
      <c r="P39" s="82">
        <f t="shared" si="4"/>
        <v>-7.4409513846830366E-3</v>
      </c>
      <c r="Q39" s="42"/>
      <c r="R39" s="78">
        <v>1140.4000000000001</v>
      </c>
      <c r="S39" s="82">
        <f t="shared" si="5"/>
        <v>-5.0537007742902151E-2</v>
      </c>
    </row>
    <row r="40" spans="2:19" ht="16.5">
      <c r="B40" s="85">
        <v>45851</v>
      </c>
      <c r="C40" s="80">
        <v>2382.4</v>
      </c>
      <c r="D40" s="82">
        <f t="shared" si="0"/>
        <v>-2.3286323384716145E-2</v>
      </c>
      <c r="E40"/>
      <c r="F40" s="88">
        <v>24968.400000000001</v>
      </c>
      <c r="G40" s="79">
        <f t="shared" si="1"/>
        <v>-7.214754759968578E-3</v>
      </c>
      <c r="I40" s="91">
        <v>576.79999999999995</v>
      </c>
      <c r="J40" s="82">
        <f t="shared" si="2"/>
        <v>7.3955181113908881E-3</v>
      </c>
      <c r="K40" s="42"/>
      <c r="L40" s="86">
        <v>248.1</v>
      </c>
      <c r="M40" s="82">
        <f t="shared" si="3"/>
        <v>7.5126903553299762E-3</v>
      </c>
      <c r="N40" s="42"/>
      <c r="O40" s="78">
        <v>3632.6</v>
      </c>
      <c r="P40" s="82">
        <f t="shared" si="4"/>
        <v>-2.7452918245209901E-3</v>
      </c>
      <c r="Q40" s="42"/>
      <c r="R40" s="78">
        <v>1201.0999999999999</v>
      </c>
      <c r="S40" s="82">
        <f t="shared" si="5"/>
        <v>7.4987502082968227E-4</v>
      </c>
    </row>
    <row r="41" spans="2:19" ht="16.5">
      <c r="B41" s="85">
        <v>45844</v>
      </c>
      <c r="C41" s="80">
        <v>2439.1999999999998</v>
      </c>
      <c r="D41" s="82">
        <f t="shared" si="0"/>
        <v>6.1876082831449075E-3</v>
      </c>
      <c r="E41"/>
      <c r="F41" s="88">
        <v>25149.85</v>
      </c>
      <c r="G41" s="79">
        <f t="shared" si="1"/>
        <v>-1.2220651192019205E-2</v>
      </c>
      <c r="I41" s="91">
        <v>572.54999999999995</v>
      </c>
      <c r="J41" s="82">
        <f t="shared" si="2"/>
        <v>-4.0140599206001354E-2</v>
      </c>
      <c r="K41" s="42"/>
      <c r="L41" s="86">
        <v>246.25</v>
      </c>
      <c r="M41" s="82">
        <f t="shared" si="3"/>
        <v>-1.5196960607878451E-2</v>
      </c>
      <c r="N41" s="42"/>
      <c r="O41" s="78">
        <v>3642.6</v>
      </c>
      <c r="P41" s="82">
        <f t="shared" si="4"/>
        <v>5.8433822461136042E-2</v>
      </c>
      <c r="Q41" s="42"/>
      <c r="R41" s="78">
        <v>1200.2</v>
      </c>
      <c r="S41" s="82">
        <f t="shared" si="5"/>
        <v>5.8357649020424063E-4</v>
      </c>
    </row>
    <row r="42" spans="2:19" ht="16.5">
      <c r="B42" s="85">
        <v>45837</v>
      </c>
      <c r="C42" s="80">
        <v>2424.1999999999998</v>
      </c>
      <c r="D42" s="82">
        <f t="shared" si="0"/>
        <v>2.7769534065374968E-2</v>
      </c>
      <c r="E42"/>
      <c r="F42" s="88">
        <v>25461</v>
      </c>
      <c r="G42" s="79">
        <f t="shared" si="1"/>
        <v>-6.8960675252947023E-3</v>
      </c>
      <c r="I42" s="91">
        <v>596</v>
      </c>
      <c r="J42" s="82">
        <f t="shared" si="2"/>
        <v>2.0425304340775153E-2</v>
      </c>
      <c r="K42" s="42"/>
      <c r="L42" s="86">
        <v>250.05</v>
      </c>
      <c r="M42" s="82">
        <f t="shared" si="3"/>
        <v>7.8597339782346953E-3</v>
      </c>
      <c r="N42" s="42"/>
      <c r="O42" s="78">
        <v>3441.5</v>
      </c>
      <c r="P42" s="82">
        <f t="shared" si="4"/>
        <v>6.6986485695899045E-3</v>
      </c>
      <c r="Q42" s="42"/>
      <c r="R42" s="78">
        <v>1199.5</v>
      </c>
      <c r="S42" s="82">
        <f t="shared" si="5"/>
        <v>3.3072086814228019E-2</v>
      </c>
    </row>
    <row r="43" spans="2:19" ht="16.5">
      <c r="B43" s="85">
        <v>45830</v>
      </c>
      <c r="C43" s="80">
        <v>2358.6999999999998</v>
      </c>
      <c r="D43" s="82">
        <f t="shared" si="0"/>
        <v>3.193769961062265E-2</v>
      </c>
      <c r="E43"/>
      <c r="F43" s="88">
        <v>25637.8</v>
      </c>
      <c r="G43" s="79">
        <f t="shared" si="1"/>
        <v>2.092193498032846E-2</v>
      </c>
      <c r="I43" s="91">
        <v>583.95000000000005</v>
      </c>
      <c r="J43" s="82">
        <f t="shared" si="2"/>
        <v>8.6147728370888119E-2</v>
      </c>
      <c r="K43" s="42"/>
      <c r="L43" s="86">
        <v>248.1</v>
      </c>
      <c r="M43" s="82">
        <f t="shared" si="3"/>
        <v>4.0033535946342402E-2</v>
      </c>
      <c r="N43" s="42"/>
      <c r="O43" s="78">
        <v>3418.6</v>
      </c>
      <c r="P43" s="82">
        <f t="shared" si="4"/>
        <v>0.10295208904662045</v>
      </c>
      <c r="Q43" s="42"/>
      <c r="R43" s="78">
        <v>1161.0999999999999</v>
      </c>
      <c r="S43" s="82">
        <f t="shared" si="5"/>
        <v>3.5771632471008008E-2</v>
      </c>
    </row>
    <row r="44" spans="2:19" ht="16.5">
      <c r="B44" s="85">
        <v>45823</v>
      </c>
      <c r="C44" s="80">
        <v>2285.6999999999998</v>
      </c>
      <c r="D44" s="82">
        <f t="shared" si="0"/>
        <v>3.2291572577002992E-2</v>
      </c>
      <c r="E44"/>
      <c r="F44" s="88">
        <v>25112.400000000001</v>
      </c>
      <c r="G44" s="79">
        <f t="shared" si="1"/>
        <v>1.5931322971365791E-2</v>
      </c>
      <c r="I44" s="91">
        <v>535.75</v>
      </c>
      <c r="J44" s="82">
        <f t="shared" si="2"/>
        <v>-6.2231849749681031E-2</v>
      </c>
      <c r="K44" s="42"/>
      <c r="L44" s="86">
        <v>238.55</v>
      </c>
      <c r="M44" s="82">
        <f t="shared" si="3"/>
        <v>-1.0945727434802377E-2</v>
      </c>
      <c r="N44" s="42"/>
      <c r="O44" s="78">
        <v>3099.5</v>
      </c>
      <c r="P44" s="82">
        <f t="shared" si="4"/>
        <v>-4.2861995491461635E-2</v>
      </c>
      <c r="Q44" s="42"/>
      <c r="R44" s="78">
        <v>1121</v>
      </c>
      <c r="S44" s="82">
        <f t="shared" si="5"/>
        <v>2.4118399415311575E-2</v>
      </c>
    </row>
    <row r="45" spans="2:19" ht="16.5">
      <c r="B45" s="85">
        <v>45816</v>
      </c>
      <c r="C45" s="80">
        <v>2214.1999999999998</v>
      </c>
      <c r="D45" s="82">
        <f t="shared" si="0"/>
        <v>-1.3807233208622871E-2</v>
      </c>
      <c r="E45"/>
      <c r="F45" s="88">
        <v>24718.6</v>
      </c>
      <c r="G45" s="79">
        <f t="shared" si="1"/>
        <v>-1.1376612053329516E-2</v>
      </c>
      <c r="I45" s="91">
        <v>570.15</v>
      </c>
      <c r="J45" s="82">
        <f t="shared" si="2"/>
        <v>-1.9711487855351678E-2</v>
      </c>
      <c r="K45" s="42"/>
      <c r="L45" s="86">
        <v>241.19</v>
      </c>
      <c r="M45" s="82">
        <f t="shared" si="3"/>
        <v>-2.6871091385918922E-2</v>
      </c>
      <c r="N45" s="42"/>
      <c r="O45" s="78">
        <v>3238.3</v>
      </c>
      <c r="P45" s="82">
        <f t="shared" si="4"/>
        <v>-4.3213877828185421E-4</v>
      </c>
      <c r="Q45" s="42"/>
      <c r="R45" s="78">
        <v>1094.5999999999999</v>
      </c>
      <c r="S45" s="82">
        <f t="shared" si="5"/>
        <v>1.8327286259186781E-2</v>
      </c>
    </row>
    <row r="46" spans="2:19" ht="16.5">
      <c r="B46" s="85">
        <v>45809</v>
      </c>
      <c r="C46" s="80">
        <v>2245.1999999999998</v>
      </c>
      <c r="D46" s="82">
        <f t="shared" si="0"/>
        <v>-6.1528927448984971E-3</v>
      </c>
      <c r="E46"/>
      <c r="F46" s="88">
        <v>25003.05</v>
      </c>
      <c r="G46" s="79">
        <f t="shared" si="1"/>
        <v>1.0195671233540704E-2</v>
      </c>
      <c r="I46" s="91">
        <v>581.5</v>
      </c>
      <c r="J46" s="82">
        <f t="shared" si="2"/>
        <v>2.2961523655643374E-2</v>
      </c>
      <c r="K46" s="42"/>
      <c r="L46" s="86">
        <v>247.85</v>
      </c>
      <c r="M46" s="82">
        <f t="shared" si="3"/>
        <v>-2.3058730784391024E-2</v>
      </c>
      <c r="N46" s="42"/>
      <c r="O46" s="78">
        <v>3239.7</v>
      </c>
      <c r="P46" s="82">
        <f t="shared" si="4"/>
        <v>-3.1711399366369908E-2</v>
      </c>
      <c r="Q46" s="42"/>
      <c r="R46" s="78">
        <v>1074.9000000000001</v>
      </c>
      <c r="S46" s="82">
        <f t="shared" si="5"/>
        <v>-4.2151095465282618E-3</v>
      </c>
    </row>
    <row r="47" spans="2:19" ht="16.5">
      <c r="B47" s="85">
        <v>45802</v>
      </c>
      <c r="C47" s="80">
        <v>2259.1</v>
      </c>
      <c r="D47" s="82">
        <f t="shared" si="0"/>
        <v>-2.4357590153314623E-2</v>
      </c>
      <c r="E47"/>
      <c r="F47" s="88">
        <v>24750.7</v>
      </c>
      <c r="G47" s="79">
        <f t="shared" si="1"/>
        <v>-4.1222138843567402E-3</v>
      </c>
      <c r="I47" s="91">
        <v>568.29999999999995</v>
      </c>
      <c r="J47" s="82">
        <f t="shared" si="2"/>
        <v>2.3861530971220186E-2</v>
      </c>
      <c r="K47" s="42"/>
      <c r="L47" s="86">
        <v>253.7</v>
      </c>
      <c r="M47" s="82">
        <f t="shared" si="3"/>
        <v>-2.4980784012298196E-2</v>
      </c>
      <c r="N47" s="42"/>
      <c r="O47" s="78">
        <v>3345.8</v>
      </c>
      <c r="P47" s="82">
        <f t="shared" si="4"/>
        <v>-6.9577308120133408E-2</v>
      </c>
      <c r="Q47" s="42"/>
      <c r="R47" s="78">
        <v>1079.45</v>
      </c>
      <c r="S47" s="82">
        <f t="shared" si="5"/>
        <v>4.6181430509788735E-2</v>
      </c>
    </row>
    <row r="48" spans="2:19" ht="16.5">
      <c r="B48" s="85">
        <v>45795</v>
      </c>
      <c r="C48" s="80">
        <v>2315.5</v>
      </c>
      <c r="D48" s="82">
        <f t="shared" si="0"/>
        <v>-1.6187967369136635E-2</v>
      </c>
      <c r="E48"/>
      <c r="F48" s="88">
        <v>24853.15</v>
      </c>
      <c r="G48" s="79">
        <f t="shared" si="1"/>
        <v>-6.660724706032739E-3</v>
      </c>
      <c r="I48" s="91">
        <v>554.9</v>
      </c>
      <c r="J48" s="82">
        <f t="shared" si="2"/>
        <v>-3.749333940648196E-2</v>
      </c>
      <c r="K48" s="42"/>
      <c r="L48" s="86">
        <v>260.2</v>
      </c>
      <c r="M48" s="82">
        <f t="shared" si="3"/>
        <v>-1.2898330804248959E-2</v>
      </c>
      <c r="N48" s="42"/>
      <c r="O48" s="78">
        <v>3596</v>
      </c>
      <c r="P48" s="82">
        <f t="shared" si="4"/>
        <v>-6.6696309470881676E-4</v>
      </c>
      <c r="Q48" s="42"/>
      <c r="R48" s="78">
        <v>1031.8</v>
      </c>
      <c r="S48" s="82">
        <f t="shared" si="5"/>
        <v>3.501264345457944E-3</v>
      </c>
    </row>
    <row r="49" spans="2:19" ht="16.5">
      <c r="B49" s="85">
        <v>45788</v>
      </c>
      <c r="C49" s="80">
        <v>2353.6</v>
      </c>
      <c r="D49" s="82">
        <f t="shared" si="0"/>
        <v>2.3482344755609619E-2</v>
      </c>
      <c r="E49"/>
      <c r="F49" s="88">
        <v>25019.8</v>
      </c>
      <c r="G49" s="79">
        <f t="shared" si="1"/>
        <v>4.2144285238253865E-2</v>
      </c>
      <c r="I49" s="91">
        <v>576.1</v>
      </c>
      <c r="J49" s="82">
        <f t="shared" si="2"/>
        <v>7.102831874681366E-2</v>
      </c>
      <c r="K49" s="42"/>
      <c r="L49" s="86">
        <v>263.60000000000002</v>
      </c>
      <c r="M49" s="82">
        <f t="shared" si="3"/>
        <v>2.2696411251212467E-2</v>
      </c>
      <c r="N49" s="42"/>
      <c r="O49" s="78">
        <v>3598.4</v>
      </c>
      <c r="P49" s="82">
        <f t="shared" si="4"/>
        <v>4.9218567763004595E-2</v>
      </c>
      <c r="Q49" s="42"/>
      <c r="R49" s="78">
        <v>1028.2</v>
      </c>
      <c r="S49" s="82">
        <f t="shared" si="5"/>
        <v>8.1917188404272201E-2</v>
      </c>
    </row>
    <row r="50" spans="2:19" ht="16.5">
      <c r="B50" s="85">
        <v>45781</v>
      </c>
      <c r="C50" s="80">
        <v>2299.6</v>
      </c>
      <c r="D50" s="82">
        <f t="shared" si="0"/>
        <v>-4.5729936094281776E-2</v>
      </c>
      <c r="E50"/>
      <c r="F50" s="88">
        <v>24008</v>
      </c>
      <c r="G50" s="79">
        <f t="shared" si="1"/>
        <v>-1.391153626569519E-2</v>
      </c>
      <c r="I50" s="91">
        <v>536.6</v>
      </c>
      <c r="J50" s="82">
        <f t="shared" si="2"/>
        <v>-1.2960744285464874E-2</v>
      </c>
      <c r="K50" s="42"/>
      <c r="L50" s="86">
        <v>257.75</v>
      </c>
      <c r="M50" s="82">
        <f t="shared" si="3"/>
        <v>1.1776251226692791E-2</v>
      </c>
      <c r="N50" s="42"/>
      <c r="O50" s="78">
        <v>3429.6</v>
      </c>
      <c r="P50" s="82">
        <f t="shared" si="4"/>
        <v>-5.9130434782609376E-3</v>
      </c>
      <c r="Q50" s="42"/>
      <c r="R50" s="86">
        <v>950.35</v>
      </c>
      <c r="S50" s="82">
        <f t="shared" si="5"/>
        <v>-3.8496560097126653E-2</v>
      </c>
    </row>
    <row r="51" spans="2:19" ht="16.5">
      <c r="B51" s="85">
        <v>45774</v>
      </c>
      <c r="C51" s="80">
        <v>2409.8000000000002</v>
      </c>
      <c r="D51" s="82">
        <f t="shared" si="0"/>
        <v>-8.9652903438064424E-3</v>
      </c>
      <c r="E51"/>
      <c r="F51" s="88">
        <v>24346.7</v>
      </c>
      <c r="G51" s="79">
        <f t="shared" si="1"/>
        <v>1.2785287455775673E-2</v>
      </c>
      <c r="I51" s="91">
        <v>543.6</v>
      </c>
      <c r="J51" s="82">
        <f t="shared" si="2"/>
        <v>-1.6239751114919224E-2</v>
      </c>
      <c r="K51" s="42"/>
      <c r="L51" s="86">
        <v>254.75</v>
      </c>
      <c r="M51" s="82">
        <f t="shared" si="3"/>
        <v>-2.8450478624003628E-2</v>
      </c>
      <c r="N51" s="42"/>
      <c r="O51" s="78">
        <v>3450</v>
      </c>
      <c r="P51" s="82">
        <f t="shared" si="4"/>
        <v>-3.3125945855052907E-2</v>
      </c>
      <c r="Q51" s="42"/>
      <c r="R51" s="86">
        <v>988.4</v>
      </c>
      <c r="S51" s="82">
        <f t="shared" si="5"/>
        <v>-1.7055342847198007E-2</v>
      </c>
    </row>
    <row r="52" spans="2:19" ht="16.5">
      <c r="B52" s="85">
        <v>45767</v>
      </c>
      <c r="C52" s="80">
        <v>2431.6</v>
      </c>
      <c r="D52" s="82">
        <f t="shared" si="0"/>
        <v>-1.4708861785323601E-2</v>
      </c>
      <c r="E52"/>
      <c r="F52" s="88">
        <v>24039.35</v>
      </c>
      <c r="G52" s="79">
        <f t="shared" si="1"/>
        <v>7.86947653516612E-3</v>
      </c>
      <c r="I52" s="91">
        <v>552.5</v>
      </c>
      <c r="J52" s="82">
        <f t="shared" si="2"/>
        <v>1.6239751114919116E-2</v>
      </c>
      <c r="K52" s="42"/>
      <c r="L52" s="86">
        <v>262.20999999999998</v>
      </c>
      <c r="M52" s="82">
        <f t="shared" si="3"/>
        <v>1.5845343251200905E-2</v>
      </c>
      <c r="N52" s="42"/>
      <c r="O52" s="78">
        <v>3568.2</v>
      </c>
      <c r="P52" s="82">
        <f t="shared" si="4"/>
        <v>2.1090284733151998E-2</v>
      </c>
      <c r="Q52" s="42"/>
      <c r="R52" s="78">
        <v>1005.55</v>
      </c>
      <c r="S52" s="82">
        <f t="shared" si="5"/>
        <v>-1.1695906432748648E-2</v>
      </c>
    </row>
    <row r="53" spans="2:19" ht="16.5">
      <c r="B53" s="85">
        <v>45760</v>
      </c>
      <c r="C53" s="80">
        <v>2467.9</v>
      </c>
      <c r="D53" s="82">
        <f t="shared" si="0"/>
        <v>3.1041109625668417E-2</v>
      </c>
      <c r="E53"/>
      <c r="F53" s="88">
        <v>23851.65</v>
      </c>
      <c r="G53" s="79">
        <f t="shared" si="1"/>
        <v>4.4816687875489425E-2</v>
      </c>
      <c r="I53" s="91">
        <v>543.6</v>
      </c>
      <c r="J53" s="82">
        <f t="shared" si="2"/>
        <v>2.4393724222950948E-2</v>
      </c>
      <c r="K53" s="42"/>
      <c r="L53" s="86">
        <v>258.12</v>
      </c>
      <c r="M53" s="82">
        <f t="shared" si="3"/>
        <v>3.4217485375430678E-2</v>
      </c>
      <c r="N53" s="42"/>
      <c r="O53" s="78">
        <v>3494.5</v>
      </c>
      <c r="P53" s="82">
        <f t="shared" si="4"/>
        <v>-4.5435770342833193E-3</v>
      </c>
      <c r="Q53" s="42"/>
      <c r="R53" s="78">
        <v>1017.45</v>
      </c>
      <c r="S53" s="82">
        <f t="shared" si="5"/>
        <v>3.2210611747996332E-2</v>
      </c>
    </row>
    <row r="54" spans="2:19" ht="16.5">
      <c r="B54" s="85">
        <v>45753</v>
      </c>
      <c r="C54" s="80">
        <v>2393.6</v>
      </c>
      <c r="D54" s="82">
        <f t="shared" si="0"/>
        <v>1.5937692324016872E-2</v>
      </c>
      <c r="E54"/>
      <c r="F54" s="88">
        <v>22828.55</v>
      </c>
      <c r="G54" s="79">
        <f t="shared" si="1"/>
        <v>-3.3137665388167648E-3</v>
      </c>
      <c r="I54" s="91">
        <v>530.5</v>
      </c>
      <c r="J54" s="82">
        <f t="shared" si="2"/>
        <v>3.5397681532591332E-2</v>
      </c>
      <c r="K54" s="42"/>
      <c r="L54" s="86">
        <v>249.58</v>
      </c>
      <c r="M54" s="82">
        <f t="shared" si="3"/>
        <v>4.1913667863404891E-2</v>
      </c>
      <c r="N54" s="42"/>
      <c r="O54" s="78">
        <v>3510.45</v>
      </c>
      <c r="P54" s="82">
        <f t="shared" si="4"/>
        <v>1.9265348060621967E-3</v>
      </c>
      <c r="Q54" s="42"/>
      <c r="R54" s="86">
        <v>985.7</v>
      </c>
      <c r="S54" s="82">
        <f t="shared" si="5"/>
        <v>2.3359634551495034E-2</v>
      </c>
    </row>
    <row r="55" spans="2:19" ht="16.5">
      <c r="B55" s="85">
        <v>45746</v>
      </c>
      <c r="C55" s="80">
        <v>2356.0500000000002</v>
      </c>
      <c r="D55" s="82">
        <f t="shared" si="0"/>
        <v>6.5793689787025933E-3</v>
      </c>
      <c r="E55"/>
      <c r="F55" s="88">
        <v>22904.45</v>
      </c>
      <c r="G55" s="79">
        <f t="shared" si="1"/>
        <v>-2.6144430011883713E-2</v>
      </c>
      <c r="I55" s="91">
        <v>512.04999999999995</v>
      </c>
      <c r="J55" s="82">
        <f t="shared" si="2"/>
        <v>2.3414258077927783E-2</v>
      </c>
      <c r="K55" s="42"/>
      <c r="L55" s="86">
        <v>239.54</v>
      </c>
      <c r="M55" s="82">
        <f t="shared" si="3"/>
        <v>2.8510090167453761E-2</v>
      </c>
      <c r="N55" s="42"/>
      <c r="O55" s="78">
        <v>3503.7</v>
      </c>
      <c r="P55" s="82">
        <f t="shared" si="4"/>
        <v>-2.620900500277934E-2</v>
      </c>
      <c r="Q55" s="42"/>
      <c r="R55" s="86">
        <v>963.2</v>
      </c>
      <c r="S55" s="82">
        <f t="shared" si="5"/>
        <v>2.1746048583854982E-2</v>
      </c>
    </row>
    <row r="56" spans="2:19" ht="16.5">
      <c r="B56" s="85">
        <v>45739</v>
      </c>
      <c r="C56" s="80">
        <v>2340.65</v>
      </c>
      <c r="D56" s="82">
        <f t="shared" si="0"/>
        <v>1.7496957050947559E-2</v>
      </c>
      <c r="E56"/>
      <c r="F56" s="88">
        <v>23519.35</v>
      </c>
      <c r="G56" s="79">
        <f t="shared" si="1"/>
        <v>7.2354220912702605E-3</v>
      </c>
      <c r="I56" s="91">
        <v>500.2</v>
      </c>
      <c r="J56" s="82">
        <f t="shared" si="2"/>
        <v>-1.9990005064078031E-4</v>
      </c>
      <c r="K56" s="42"/>
      <c r="L56" s="86">
        <v>232.9</v>
      </c>
      <c r="M56" s="82">
        <f t="shared" si="3"/>
        <v>-4.9116073980320918E-2</v>
      </c>
      <c r="N56" s="42"/>
      <c r="O56" s="78">
        <v>3598</v>
      </c>
      <c r="P56" s="82">
        <f t="shared" si="4"/>
        <v>6.5963529708030322E-2</v>
      </c>
      <c r="Q56" s="42"/>
      <c r="R56" s="86">
        <v>942.7</v>
      </c>
      <c r="S56" s="82">
        <f t="shared" si="5"/>
        <v>-5.2038815425612173E-2</v>
      </c>
    </row>
    <row r="57" spans="2:19" ht="16.5">
      <c r="B57" s="85">
        <v>45732</v>
      </c>
      <c r="C57" s="80">
        <v>2300.4</v>
      </c>
      <c r="D57" s="82">
        <f t="shared" si="0"/>
        <v>3.0968493703222189E-2</v>
      </c>
      <c r="E57"/>
      <c r="F57" s="88">
        <v>23350.400000000001</v>
      </c>
      <c r="G57" s="79">
        <f t="shared" si="1"/>
        <v>4.2558891289982803E-2</v>
      </c>
      <c r="I57" s="91">
        <v>500.3</v>
      </c>
      <c r="J57" s="82">
        <f t="shared" si="2"/>
        <v>2.4482760535299779E-2</v>
      </c>
      <c r="K57" s="42"/>
      <c r="L57" s="86">
        <v>244.93</v>
      </c>
      <c r="M57" s="82">
        <f t="shared" si="3"/>
        <v>9.0273759180948154E-2</v>
      </c>
      <c r="N57" s="42"/>
      <c r="O57" s="78">
        <v>3375.35</v>
      </c>
      <c r="P57" s="82">
        <f t="shared" si="4"/>
        <v>8.028484557529203E-2</v>
      </c>
      <c r="Q57" s="42"/>
      <c r="R57" s="86">
        <v>994.45</v>
      </c>
      <c r="S57" s="82">
        <f t="shared" si="5"/>
        <v>4.2413531936380533E-3</v>
      </c>
    </row>
    <row r="58" spans="2:19" ht="16.5">
      <c r="B58" s="85">
        <v>45725</v>
      </c>
      <c r="C58" s="80">
        <v>2231.3000000000002</v>
      </c>
      <c r="D58" s="82">
        <f t="shared" si="0"/>
        <v>-1.7048458149779622E-2</v>
      </c>
      <c r="E58"/>
      <c r="F58" s="88">
        <v>22397.200000000001</v>
      </c>
      <c r="G58" s="79">
        <f t="shared" si="1"/>
        <v>-6.8861545283227521E-3</v>
      </c>
      <c r="I58" s="91">
        <v>488.2</v>
      </c>
      <c r="J58" s="82">
        <f t="shared" si="2"/>
        <v>-4.2410245077215775E-2</v>
      </c>
      <c r="K58" s="42"/>
      <c r="L58" s="86">
        <v>224.65</v>
      </c>
      <c r="M58" s="82">
        <f t="shared" si="3"/>
        <v>-4.6679397411415247E-2</v>
      </c>
      <c r="N58" s="42"/>
      <c r="O58" s="78">
        <v>3124.5</v>
      </c>
      <c r="P58" s="82">
        <f t="shared" si="4"/>
        <v>-5.0159598723210186E-2</v>
      </c>
      <c r="Q58" s="42"/>
      <c r="R58" s="86">
        <v>990.25</v>
      </c>
      <c r="S58" s="82">
        <f t="shared" si="5"/>
        <v>-6.8876351669017399E-2</v>
      </c>
    </row>
    <row r="59" spans="2:19" ht="16.5">
      <c r="B59" s="85">
        <v>45718</v>
      </c>
      <c r="C59" s="80">
        <v>2270</v>
      </c>
      <c r="D59" s="82">
        <f t="shared" si="0"/>
        <v>4.1403830714531464E-2</v>
      </c>
      <c r="E59"/>
      <c r="F59" s="88">
        <v>22552.5</v>
      </c>
      <c r="G59" s="79">
        <f t="shared" si="1"/>
        <v>1.9335855401429125E-2</v>
      </c>
      <c r="I59" s="91">
        <v>509.35</v>
      </c>
      <c r="J59" s="82">
        <f t="shared" si="2"/>
        <v>4.1693582645723232E-2</v>
      </c>
      <c r="K59" s="42"/>
      <c r="L59" s="86">
        <v>235.65</v>
      </c>
      <c r="M59" s="82">
        <f t="shared" si="3"/>
        <v>3.9662931262684165E-2</v>
      </c>
      <c r="N59" s="42"/>
      <c r="O59" s="78">
        <v>3289.5</v>
      </c>
      <c r="P59" s="82">
        <f t="shared" si="4"/>
        <v>5.7632023149264633E-2</v>
      </c>
      <c r="Q59" s="42"/>
      <c r="R59" s="78">
        <v>1063.5</v>
      </c>
      <c r="S59" s="82">
        <f t="shared" si="5"/>
        <v>4.2800411825268503E-2</v>
      </c>
    </row>
    <row r="60" spans="2:19" ht="16.5">
      <c r="B60" s="85">
        <v>45711</v>
      </c>
      <c r="C60" s="80">
        <v>2179.75</v>
      </c>
      <c r="D60" s="82">
        <f t="shared" si="0"/>
        <v>-3.4483522324592397E-2</v>
      </c>
      <c r="E60"/>
      <c r="F60" s="88">
        <v>22124.7</v>
      </c>
      <c r="G60" s="79">
        <f t="shared" si="1"/>
        <v>-2.9443891226053842E-2</v>
      </c>
      <c r="I60" s="91">
        <v>488.55</v>
      </c>
      <c r="J60" s="82">
        <f t="shared" si="2"/>
        <v>-5.51134279311883E-3</v>
      </c>
      <c r="K60" s="42"/>
      <c r="L60" s="86">
        <v>226.66</v>
      </c>
      <c r="M60" s="82">
        <f t="shared" si="3"/>
        <v>-6.1954227537971307E-2</v>
      </c>
      <c r="N60" s="42"/>
      <c r="O60" s="78">
        <v>3110.25</v>
      </c>
      <c r="P60" s="82">
        <f t="shared" si="4"/>
        <v>-4.507146037058074E-2</v>
      </c>
      <c r="Q60" s="42"/>
      <c r="R60" s="78">
        <v>1019.85</v>
      </c>
      <c r="S60" s="82">
        <f t="shared" si="5"/>
        <v>-5.4074108426471312E-2</v>
      </c>
    </row>
    <row r="61" spans="2:19" ht="16.5">
      <c r="B61" s="85">
        <v>45704</v>
      </c>
      <c r="C61" s="80">
        <v>2257.6</v>
      </c>
      <c r="D61" s="82">
        <f t="shared" si="0"/>
        <v>1.1786850714829766E-2</v>
      </c>
      <c r="E61"/>
      <c r="F61" s="88">
        <v>22795.9</v>
      </c>
      <c r="G61" s="79">
        <f t="shared" si="1"/>
        <v>-5.8157157342695331E-3</v>
      </c>
      <c r="I61" s="91">
        <v>491.25</v>
      </c>
      <c r="J61" s="82">
        <f t="shared" si="2"/>
        <v>2.6715012497219762E-2</v>
      </c>
      <c r="K61" s="42"/>
      <c r="L61" s="86">
        <v>241.63</v>
      </c>
      <c r="M61" s="82">
        <f t="shared" si="3"/>
        <v>4.4209161624891857E-2</v>
      </c>
      <c r="N61" s="42"/>
      <c r="O61" s="78">
        <v>3257.05</v>
      </c>
      <c r="P61" s="82">
        <f t="shared" si="4"/>
        <v>2.3542807902998675E-3</v>
      </c>
      <c r="Q61" s="42"/>
      <c r="R61" s="78">
        <v>1078.1500000000001</v>
      </c>
      <c r="S61" s="82">
        <f t="shared" si="5"/>
        <v>-6.9997697444161844E-3</v>
      </c>
    </row>
    <row r="62" spans="2:19" ht="16.5">
      <c r="B62" s="85">
        <v>45697</v>
      </c>
      <c r="C62" s="80">
        <v>2231.3000000000002</v>
      </c>
      <c r="D62" s="82">
        <f t="shared" si="0"/>
        <v>-1.7481285777190547E-2</v>
      </c>
      <c r="E62"/>
      <c r="F62" s="88">
        <v>22929.25</v>
      </c>
      <c r="G62" s="79">
        <f t="shared" si="1"/>
        <v>-2.6770005878620329E-2</v>
      </c>
      <c r="I62" s="91">
        <v>478.3</v>
      </c>
      <c r="J62" s="82">
        <f t="shared" si="2"/>
        <v>-2.1928688367543812E-3</v>
      </c>
      <c r="K62" s="42"/>
      <c r="L62" s="86">
        <v>231.4</v>
      </c>
      <c r="M62" s="82">
        <f t="shared" si="3"/>
        <v>-7.0608080970358977E-2</v>
      </c>
      <c r="N62" s="42"/>
      <c r="O62" s="78">
        <v>3249.4</v>
      </c>
      <c r="P62" s="82">
        <f t="shared" si="4"/>
        <v>-0.10241288344405619</v>
      </c>
      <c r="Q62" s="42"/>
      <c r="R62" s="78">
        <v>1085.75</v>
      </c>
      <c r="S62" s="82">
        <f t="shared" si="5"/>
        <v>-0.13499840662842577</v>
      </c>
    </row>
    <row r="63" spans="2:19" ht="16.5">
      <c r="B63" s="85">
        <v>45690</v>
      </c>
      <c r="C63" s="80">
        <v>2271</v>
      </c>
      <c r="D63" s="82">
        <f t="shared" si="0"/>
        <v>-1.2952016689847135E-2</v>
      </c>
      <c r="E63"/>
      <c r="F63" s="88">
        <v>23559.95</v>
      </c>
      <c r="G63" s="79">
        <f t="shared" si="1"/>
        <v>2.1928332000475947E-3</v>
      </c>
      <c r="I63" s="91">
        <v>479.35</v>
      </c>
      <c r="J63" s="82">
        <f t="shared" si="2"/>
        <v>1.3864311984438658E-2</v>
      </c>
      <c r="K63" s="42"/>
      <c r="L63" s="86">
        <v>248.98</v>
      </c>
      <c r="M63" s="82">
        <f t="shared" si="3"/>
        <v>6.8125268125268201E-2</v>
      </c>
      <c r="N63" s="42"/>
      <c r="O63" s="78">
        <v>3620.15</v>
      </c>
      <c r="P63" s="82">
        <f t="shared" si="4"/>
        <v>-4.4336210765291262E-2</v>
      </c>
      <c r="Q63" s="42"/>
      <c r="R63" s="78">
        <v>1255.2</v>
      </c>
      <c r="S63" s="82">
        <f t="shared" si="5"/>
        <v>-9.4696969696970168E-3</v>
      </c>
    </row>
    <row r="64" spans="2:19" ht="16.5">
      <c r="B64" s="85">
        <v>45683</v>
      </c>
      <c r="C64" s="80">
        <v>2300.8000000000002</v>
      </c>
      <c r="D64" s="82">
        <f t="shared" si="0"/>
        <v>1.6973125884017115E-2</v>
      </c>
      <c r="E64"/>
      <c r="F64" s="88">
        <v>23508.400000000001</v>
      </c>
      <c r="G64" s="79">
        <f t="shared" si="1"/>
        <v>1.8023401841314346E-2</v>
      </c>
      <c r="I64" s="91">
        <v>472.75</v>
      </c>
      <c r="J64" s="82">
        <f t="shared" si="2"/>
        <v>-1.5427707998327793E-2</v>
      </c>
      <c r="K64" s="42"/>
      <c r="L64" s="86">
        <v>233.1</v>
      </c>
      <c r="M64" s="82">
        <f t="shared" si="3"/>
        <v>-3.7174721189591087E-2</v>
      </c>
      <c r="N64" s="42"/>
      <c r="O64" s="78">
        <v>3788.1</v>
      </c>
      <c r="P64" s="82">
        <f t="shared" si="4"/>
        <v>-1.6703656114939847E-2</v>
      </c>
      <c r="Q64" s="42"/>
      <c r="R64" s="78">
        <v>1267.2</v>
      </c>
      <c r="S64" s="82">
        <f t="shared" si="5"/>
        <v>3.2636596993032674E-2</v>
      </c>
    </row>
    <row r="65" spans="2:19" ht="16.5">
      <c r="B65" s="85">
        <v>45676</v>
      </c>
      <c r="C65" s="80">
        <v>2262.4</v>
      </c>
      <c r="D65" s="82">
        <f t="shared" si="0"/>
        <v>6.1919504643959122E-4</v>
      </c>
      <c r="E65"/>
      <c r="F65" s="88">
        <v>23092.2</v>
      </c>
      <c r="G65" s="79">
        <f t="shared" si="1"/>
        <v>-4.7838229209764549E-3</v>
      </c>
      <c r="I65" s="91">
        <v>480.1</v>
      </c>
      <c r="J65" s="82">
        <f t="shared" si="2"/>
        <v>2.3818177274091846E-2</v>
      </c>
      <c r="K65" s="42"/>
      <c r="L65" s="86">
        <v>242.1</v>
      </c>
      <c r="M65" s="82">
        <f t="shared" si="3"/>
        <v>-8.5995085995085319E-3</v>
      </c>
      <c r="N65" s="42"/>
      <c r="O65" s="78">
        <v>3852.45</v>
      </c>
      <c r="P65" s="82">
        <f t="shared" si="4"/>
        <v>3.0723965995338443E-3</v>
      </c>
      <c r="Q65" s="42"/>
      <c r="R65" s="78">
        <v>1227.1500000000001</v>
      </c>
      <c r="S65" s="82">
        <f t="shared" si="5"/>
        <v>-9.3625335829994327E-4</v>
      </c>
    </row>
    <row r="66" spans="2:19" ht="16.5">
      <c r="B66" s="85">
        <v>45669</v>
      </c>
      <c r="C66" s="80">
        <v>2261</v>
      </c>
      <c r="D66" s="82">
        <f t="shared" si="0"/>
        <v>-2.5745987288592009E-2</v>
      </c>
      <c r="E66"/>
      <c r="F66" s="88">
        <v>23203.200000000001</v>
      </c>
      <c r="G66" s="79">
        <f t="shared" si="1"/>
        <v>-9.7432942833365344E-3</v>
      </c>
      <c r="I66" s="91">
        <v>468.8</v>
      </c>
      <c r="J66" s="82">
        <f t="shared" si="2"/>
        <v>1.7103627823129557E-2</v>
      </c>
      <c r="K66" s="42"/>
      <c r="L66" s="86">
        <v>244.2</v>
      </c>
      <c r="M66" s="82">
        <f t="shared" si="3"/>
        <v>-3.7825059101654901E-2</v>
      </c>
      <c r="N66" s="42"/>
      <c r="O66" s="78">
        <v>3840.65</v>
      </c>
      <c r="P66" s="82">
        <f t="shared" si="4"/>
        <v>2.8190129439008338E-2</v>
      </c>
      <c r="Q66" s="42"/>
      <c r="R66" s="78">
        <v>1228.3</v>
      </c>
      <c r="S66" s="82">
        <f t="shared" si="5"/>
        <v>-4.6202826525858054E-2</v>
      </c>
    </row>
    <row r="67" spans="2:19" ht="16.5">
      <c r="B67" s="85">
        <v>45662</v>
      </c>
      <c r="C67" s="80">
        <v>2320.75</v>
      </c>
      <c r="D67" s="82">
        <f t="shared" si="0"/>
        <v>-6.5069885913653369E-3</v>
      </c>
      <c r="E67"/>
      <c r="F67" s="88">
        <v>23431.5</v>
      </c>
      <c r="G67" s="79">
        <f t="shared" si="1"/>
        <v>-2.3880690280048689E-2</v>
      </c>
      <c r="I67" s="91">
        <v>460.85</v>
      </c>
      <c r="J67" s="82">
        <f t="shared" si="2"/>
        <v>6.5309908859321596E-3</v>
      </c>
      <c r="K67" s="42"/>
      <c r="L67" s="86">
        <v>253.8</v>
      </c>
      <c r="M67" s="82">
        <f t="shared" si="3"/>
        <v>-3.0927835051546282E-2</v>
      </c>
      <c r="N67" s="42"/>
      <c r="O67" s="78">
        <v>3735.35</v>
      </c>
      <c r="P67" s="82">
        <f t="shared" si="4"/>
        <v>6.722761103412811E-2</v>
      </c>
      <c r="Q67" s="42"/>
      <c r="R67" s="78">
        <v>1287.8</v>
      </c>
      <c r="S67" s="82">
        <f t="shared" si="5"/>
        <v>-7.734193086154395E-2</v>
      </c>
    </row>
    <row r="68" spans="2:19" ht="16.5">
      <c r="B68" s="85">
        <v>45655</v>
      </c>
      <c r="C68" s="80">
        <v>2335.9499999999998</v>
      </c>
      <c r="D68" s="82">
        <f t="shared" si="0"/>
        <v>2.8418596460332735E-2</v>
      </c>
      <c r="E68"/>
      <c r="F68" s="88">
        <v>24004.75</v>
      </c>
      <c r="G68" s="79">
        <f t="shared" si="1"/>
        <v>8.035391838208783E-3</v>
      </c>
      <c r="I68" s="91">
        <v>457.85</v>
      </c>
      <c r="J68" s="82">
        <f t="shared" si="2"/>
        <v>3.4553234679460053E-2</v>
      </c>
      <c r="K68" s="42"/>
      <c r="L68" s="86">
        <v>261.89999999999998</v>
      </c>
      <c r="M68" s="82">
        <f t="shared" si="3"/>
        <v>2.2962112514350874E-3</v>
      </c>
      <c r="N68" s="42"/>
      <c r="O68" s="78">
        <v>3500.05</v>
      </c>
      <c r="P68" s="82">
        <f t="shared" si="4"/>
        <v>2.669365365717713E-2</v>
      </c>
      <c r="Q68" s="42"/>
      <c r="R68" s="78">
        <v>1395.75</v>
      </c>
      <c r="S68" s="82">
        <f t="shared" si="5"/>
        <v>4.6367793687682735E-2</v>
      </c>
    </row>
    <row r="69" spans="2:19" ht="16.5">
      <c r="B69" s="85">
        <v>45648</v>
      </c>
      <c r="C69" s="80">
        <v>2271.4</v>
      </c>
      <c r="D69" s="82">
        <f t="shared" si="0"/>
        <v>-4.7976865949568293E-3</v>
      </c>
      <c r="E69"/>
      <c r="F69" s="88">
        <v>23813.4</v>
      </c>
      <c r="G69" s="79">
        <f t="shared" si="1"/>
        <v>9.5771065182830295E-3</v>
      </c>
      <c r="I69" s="91">
        <v>442.3</v>
      </c>
      <c r="J69" s="82">
        <f t="shared" si="2"/>
        <v>-5.6363580620915378E-3</v>
      </c>
      <c r="K69" s="42"/>
      <c r="L69" s="86">
        <v>261.3</v>
      </c>
      <c r="M69" s="82">
        <f t="shared" si="3"/>
        <v>-3.4324942791761348E-3</v>
      </c>
      <c r="N69" s="42"/>
      <c r="O69" s="78">
        <v>3409.05</v>
      </c>
      <c r="P69" s="82">
        <f t="shared" si="4"/>
        <v>-5.1249582544806715E-2</v>
      </c>
      <c r="Q69" s="42"/>
      <c r="R69" s="78">
        <v>1333.9</v>
      </c>
      <c r="S69" s="82">
        <f t="shared" si="5"/>
        <v>-5.3266616984279036E-2</v>
      </c>
    </row>
    <row r="70" spans="2:19" ht="16.5">
      <c r="B70" s="85">
        <v>45641</v>
      </c>
      <c r="C70" s="80">
        <v>2282.35</v>
      </c>
      <c r="D70" s="82">
        <f t="shared" si="0"/>
        <v>-5.2042448030237054E-2</v>
      </c>
      <c r="E70"/>
      <c r="F70" s="88">
        <v>23587.5</v>
      </c>
      <c r="G70" s="79">
        <f t="shared" si="1"/>
        <v>-4.7673841159869612E-2</v>
      </c>
      <c r="I70" s="91">
        <v>444.8</v>
      </c>
      <c r="J70" s="82">
        <f t="shared" si="2"/>
        <v>-6.569006109826861E-2</v>
      </c>
      <c r="K70" s="42"/>
      <c r="L70" s="86">
        <v>262.2</v>
      </c>
      <c r="M70" s="82">
        <f t="shared" si="3"/>
        <v>-1.9033117624667195E-3</v>
      </c>
      <c r="N70" s="42"/>
      <c r="O70" s="78">
        <v>3593.2</v>
      </c>
      <c r="P70" s="82">
        <f t="shared" si="4"/>
        <v>1.2696757465157749E-2</v>
      </c>
      <c r="Q70" s="42"/>
      <c r="R70" s="78">
        <v>1408.95</v>
      </c>
      <c r="S70" s="82">
        <f t="shared" si="5"/>
        <v>-1.5030235240658496E-2</v>
      </c>
    </row>
    <row r="71" spans="2:19" ht="16.5">
      <c r="B71" s="85">
        <v>45634</v>
      </c>
      <c r="C71" s="80">
        <v>2407.65</v>
      </c>
      <c r="D71" s="82">
        <f t="shared" si="0"/>
        <v>-9.0751944684527297E-3</v>
      </c>
      <c r="E71"/>
      <c r="F71" s="88">
        <v>24768.3</v>
      </c>
      <c r="G71" s="79">
        <f t="shared" si="1"/>
        <v>3.6672636944945491E-3</v>
      </c>
      <c r="I71" s="91">
        <v>475</v>
      </c>
      <c r="J71" s="82">
        <f t="shared" si="2"/>
        <v>-1.1408360688635611E-2</v>
      </c>
      <c r="K71" s="42"/>
      <c r="L71" s="86">
        <v>262.7</v>
      </c>
      <c r="M71" s="82">
        <f t="shared" si="3"/>
        <v>-5.4525823285945796E-2</v>
      </c>
      <c r="N71" s="42"/>
      <c r="O71" s="78">
        <v>3548.15</v>
      </c>
      <c r="P71" s="82">
        <f t="shared" si="4"/>
        <v>-3.439876991740487E-2</v>
      </c>
      <c r="Q71" s="42"/>
      <c r="R71" s="78">
        <v>1430.45</v>
      </c>
      <c r="S71" s="82">
        <f t="shared" si="5"/>
        <v>-2.4060255247925211E-3</v>
      </c>
    </row>
    <row r="72" spans="2:19" ht="16.5">
      <c r="B72" s="85">
        <v>45627</v>
      </c>
      <c r="C72" s="80">
        <v>2429.6999999999998</v>
      </c>
      <c r="D72" s="82">
        <f t="shared" ref="D72:D135" si="6">(C72/C73)-1</f>
        <v>-2.0124213582836004E-2</v>
      </c>
      <c r="E72"/>
      <c r="F72" s="88">
        <v>24677.8</v>
      </c>
      <c r="G72" s="79">
        <f t="shared" ref="G72:G135" si="7">(F72/F73)-1</f>
        <v>2.2655411481449228E-2</v>
      </c>
      <c r="I72" s="91">
        <v>480.45</v>
      </c>
      <c r="J72" s="82">
        <f t="shared" ref="J72:J135" si="8">LN(I72/I73)</f>
        <v>-2.7204880541540331E-2</v>
      </c>
      <c r="K72" s="42"/>
      <c r="L72" s="86">
        <v>277.85000000000002</v>
      </c>
      <c r="M72" s="82">
        <f t="shared" ref="M72:M135" si="9">(L72/L73)-1</f>
        <v>-1.1033991813489852E-2</v>
      </c>
      <c r="N72" s="42"/>
      <c r="O72" s="78">
        <v>3674.55</v>
      </c>
      <c r="P72" s="82">
        <f t="shared" ref="P72:P135" si="10">(O72/O73)-1</f>
        <v>-8.8071860164004034E-3</v>
      </c>
      <c r="Q72" s="42"/>
      <c r="R72" s="78">
        <v>1433.9</v>
      </c>
      <c r="S72" s="82">
        <f t="shared" ref="S72:S135" si="11">(R72/R73)-1</f>
        <v>2.4414914024628587E-4</v>
      </c>
    </row>
    <row r="73" spans="2:19" ht="16.5">
      <c r="B73" s="85">
        <v>45620</v>
      </c>
      <c r="C73" s="80">
        <v>2479.6</v>
      </c>
      <c r="D73" s="82">
        <f t="shared" si="6"/>
        <v>2.9932853329019959E-3</v>
      </c>
      <c r="E73"/>
      <c r="F73" s="88">
        <v>24131.1</v>
      </c>
      <c r="G73" s="79">
        <f t="shared" si="7"/>
        <v>9.3632684645870157E-3</v>
      </c>
      <c r="I73" s="91">
        <v>493.7</v>
      </c>
      <c r="J73" s="82">
        <f t="shared" si="8"/>
        <v>3.5985118823906474E-2</v>
      </c>
      <c r="K73" s="42"/>
      <c r="L73" s="86">
        <v>280.95</v>
      </c>
      <c r="M73" s="82">
        <f t="shared" si="9"/>
        <v>5.1262862488306693E-2</v>
      </c>
      <c r="N73" s="42"/>
      <c r="O73" s="78">
        <v>3707.2</v>
      </c>
      <c r="P73" s="82">
        <f t="shared" si="10"/>
        <v>1.8741412475954844E-2</v>
      </c>
      <c r="Q73" s="42"/>
      <c r="R73" s="78">
        <v>1433.55</v>
      </c>
      <c r="S73" s="82">
        <f t="shared" si="11"/>
        <v>-4.6080649454351863E-2</v>
      </c>
    </row>
    <row r="74" spans="2:19" ht="16.5">
      <c r="B74" s="85">
        <v>45613</v>
      </c>
      <c r="C74" s="80">
        <v>2472.1999999999998</v>
      </c>
      <c r="D74" s="82">
        <f t="shared" si="6"/>
        <v>-4.4097215230656239E-3</v>
      </c>
      <c r="E74"/>
      <c r="F74" s="88">
        <v>23907.25</v>
      </c>
      <c r="G74" s="79">
        <f t="shared" si="7"/>
        <v>1.5916150717937061E-2</v>
      </c>
      <c r="I74" s="91">
        <v>476.25</v>
      </c>
      <c r="J74" s="82">
        <f t="shared" si="8"/>
        <v>-3.233251736038336E-2</v>
      </c>
      <c r="K74" s="42"/>
      <c r="L74" s="86">
        <v>267.25</v>
      </c>
      <c r="M74" s="82">
        <f t="shared" si="9"/>
        <v>3.0858244937319146E-2</v>
      </c>
      <c r="N74" s="42"/>
      <c r="O74" s="78">
        <v>3639</v>
      </c>
      <c r="P74" s="82">
        <f t="shared" si="10"/>
        <v>-2.0020294545155526E-3</v>
      </c>
      <c r="Q74" s="42"/>
      <c r="R74" s="78">
        <v>1502.8</v>
      </c>
      <c r="S74" s="82">
        <f t="shared" si="11"/>
        <v>1.7664900176648235E-3</v>
      </c>
    </row>
    <row r="75" spans="2:19" ht="16.5">
      <c r="B75" s="85">
        <v>45606</v>
      </c>
      <c r="C75" s="80">
        <v>2483.15</v>
      </c>
      <c r="D75" s="82">
        <f t="shared" si="6"/>
        <v>-0.10337792702522153</v>
      </c>
      <c r="E75"/>
      <c r="F75" s="88">
        <v>23532.7</v>
      </c>
      <c r="G75" s="79">
        <f t="shared" si="7"/>
        <v>-2.5488442202731498E-2</v>
      </c>
      <c r="I75" s="91">
        <v>491.9</v>
      </c>
      <c r="J75" s="82">
        <f t="shared" si="8"/>
        <v>-2.4796733033027103E-2</v>
      </c>
      <c r="K75" s="42"/>
      <c r="L75" s="86">
        <v>259.25</v>
      </c>
      <c r="M75" s="82">
        <f t="shared" si="9"/>
        <v>-4.3887147335423093E-2</v>
      </c>
      <c r="N75" s="42"/>
      <c r="O75" s="78">
        <v>3646.3</v>
      </c>
      <c r="P75" s="82">
        <f t="shared" si="10"/>
        <v>-0.10890895538801781</v>
      </c>
      <c r="Q75" s="42"/>
      <c r="R75" s="78">
        <v>1500.15</v>
      </c>
      <c r="S75" s="82">
        <f t="shared" si="11"/>
        <v>-2.235328619375021E-2</v>
      </c>
    </row>
    <row r="76" spans="2:19" ht="16.5">
      <c r="B76" s="85">
        <v>45599</v>
      </c>
      <c r="C76" s="80">
        <v>2769.45</v>
      </c>
      <c r="D76" s="82">
        <f t="shared" si="6"/>
        <v>-5.7962140925557404E-2</v>
      </c>
      <c r="E76"/>
      <c r="F76" s="88">
        <v>24148.2</v>
      </c>
      <c r="G76" s="79">
        <f t="shared" si="7"/>
        <v>-6.4247758117372822E-3</v>
      </c>
      <c r="I76" s="91">
        <v>504.25</v>
      </c>
      <c r="J76" s="82">
        <f t="shared" si="8"/>
        <v>-5.3101277246025452E-2</v>
      </c>
      <c r="K76" s="42"/>
      <c r="L76" s="86">
        <v>271.14999999999998</v>
      </c>
      <c r="M76" s="82">
        <f t="shared" si="9"/>
        <v>-5.5226480836237046E-2</v>
      </c>
      <c r="N76" s="42"/>
      <c r="O76" s="78">
        <v>4091.95</v>
      </c>
      <c r="P76" s="82">
        <f t="shared" si="10"/>
        <v>-9.4400796724576796E-2</v>
      </c>
      <c r="Q76" s="42"/>
      <c r="R76" s="78">
        <v>1534.45</v>
      </c>
      <c r="S76" s="82">
        <f t="shared" si="11"/>
        <v>-8.4648193992901133E-2</v>
      </c>
    </row>
    <row r="77" spans="2:19" ht="16.5">
      <c r="B77" s="85">
        <v>45592</v>
      </c>
      <c r="C77" s="80">
        <v>2939.85</v>
      </c>
      <c r="D77" s="82">
        <f t="shared" si="6"/>
        <v>-6.135902636916879E-3</v>
      </c>
      <c r="E77"/>
      <c r="F77" s="88">
        <v>24304.35</v>
      </c>
      <c r="G77" s="79">
        <f t="shared" si="7"/>
        <v>5.1094256600276999E-3</v>
      </c>
      <c r="I77" s="91">
        <v>531.75</v>
      </c>
      <c r="J77" s="82">
        <f t="shared" si="8"/>
        <v>-9.7315262238790654E-3</v>
      </c>
      <c r="K77" s="42"/>
      <c r="L77" s="86">
        <v>287</v>
      </c>
      <c r="M77" s="82">
        <f t="shared" si="9"/>
        <v>2.8121081855633223E-2</v>
      </c>
      <c r="N77" s="42"/>
      <c r="O77" s="78">
        <v>4518.5</v>
      </c>
      <c r="P77" s="82">
        <f t="shared" si="10"/>
        <v>0.2170388127238938</v>
      </c>
      <c r="Q77" s="42"/>
      <c r="R77" s="78">
        <v>1676.35</v>
      </c>
      <c r="S77" s="82">
        <f t="shared" si="11"/>
        <v>4.677011458365854E-2</v>
      </c>
    </row>
    <row r="78" spans="2:19" ht="16.5">
      <c r="B78" s="85">
        <v>45585</v>
      </c>
      <c r="C78" s="80">
        <v>2958</v>
      </c>
      <c r="D78" s="82">
        <f t="shared" si="6"/>
        <v>-1.1413197867753966E-2</v>
      </c>
      <c r="E78"/>
      <c r="F78" s="88">
        <v>24180.799999999999</v>
      </c>
      <c r="G78" s="79">
        <f t="shared" si="7"/>
        <v>-2.7088140564616281E-2</v>
      </c>
      <c r="I78" s="91">
        <v>536.95000000000005</v>
      </c>
      <c r="J78" s="82">
        <f t="shared" si="8"/>
        <v>-3.549261229948393E-2</v>
      </c>
      <c r="K78" s="42"/>
      <c r="L78" s="86">
        <v>279.14999999999998</v>
      </c>
      <c r="M78" s="82">
        <f t="shared" si="9"/>
        <v>-2.7521337746037378E-2</v>
      </c>
      <c r="N78" s="42"/>
      <c r="O78" s="78">
        <v>3712.7</v>
      </c>
      <c r="P78" s="82">
        <f t="shared" si="10"/>
        <v>-5.0666734853037076E-2</v>
      </c>
      <c r="Q78" s="42"/>
      <c r="R78" s="78">
        <v>1601.45</v>
      </c>
      <c r="S78" s="82">
        <f t="shared" si="11"/>
        <v>2.2049907460590878E-2</v>
      </c>
    </row>
    <row r="79" spans="2:19" ht="16.5">
      <c r="B79" s="85">
        <v>45578</v>
      </c>
      <c r="C79" s="80">
        <v>2992.15</v>
      </c>
      <c r="D79" s="82">
        <f t="shared" si="6"/>
        <v>-1.4832740682207191E-2</v>
      </c>
      <c r="E79"/>
      <c r="F79" s="88">
        <v>24854.05</v>
      </c>
      <c r="G79" s="79">
        <f t="shared" si="7"/>
        <v>-4.4143124668275524E-3</v>
      </c>
      <c r="I79" s="91">
        <v>556.35</v>
      </c>
      <c r="J79" s="82">
        <f t="shared" si="8"/>
        <v>-2.69543758680778E-2</v>
      </c>
      <c r="K79" s="42"/>
      <c r="L79" s="86">
        <v>287.05</v>
      </c>
      <c r="M79" s="82">
        <f t="shared" si="9"/>
        <v>-5.8874458874458302E-3</v>
      </c>
      <c r="N79" s="42"/>
      <c r="O79" s="78">
        <v>3910.85</v>
      </c>
      <c r="P79" s="82">
        <f t="shared" si="10"/>
        <v>-5.1432244294064788E-2</v>
      </c>
      <c r="Q79" s="42"/>
      <c r="R79" s="78">
        <v>1566.9</v>
      </c>
      <c r="S79" s="82">
        <f t="shared" si="11"/>
        <v>5.7358796140090318E-2</v>
      </c>
    </row>
    <row r="80" spans="2:19" ht="16.5">
      <c r="B80" s="85">
        <v>45571</v>
      </c>
      <c r="C80" s="80">
        <v>3037.2</v>
      </c>
      <c r="D80" s="82">
        <f t="shared" si="6"/>
        <v>-1.1489015459723362E-2</v>
      </c>
      <c r="E80"/>
      <c r="F80" s="88">
        <v>24964.25</v>
      </c>
      <c r="G80" s="79">
        <f t="shared" si="7"/>
        <v>-2.0128245104857889E-3</v>
      </c>
      <c r="I80" s="91">
        <v>571.54999999999995</v>
      </c>
      <c r="J80" s="82">
        <f t="shared" si="8"/>
        <v>-9.4036391688894824E-3</v>
      </c>
      <c r="K80" s="42"/>
      <c r="L80" s="86">
        <v>288.75</v>
      </c>
      <c r="M80" s="82">
        <f t="shared" si="9"/>
        <v>-1.1468675111263371E-2</v>
      </c>
      <c r="N80" s="42"/>
      <c r="O80" s="78">
        <v>4122.8999999999996</v>
      </c>
      <c r="P80" s="82">
        <f t="shared" si="10"/>
        <v>7.909545371267046E-2</v>
      </c>
      <c r="Q80" s="42"/>
      <c r="R80" s="78">
        <v>1481.9</v>
      </c>
      <c r="S80" s="82">
        <f t="shared" si="11"/>
        <v>1.468725392858361E-2</v>
      </c>
    </row>
    <row r="81" spans="2:19" ht="16.5">
      <c r="B81" s="85">
        <v>45564</v>
      </c>
      <c r="C81" s="80">
        <v>3072.5</v>
      </c>
      <c r="D81" s="82">
        <f t="shared" si="6"/>
        <v>-7.1962546250849524E-2</v>
      </c>
      <c r="E81"/>
      <c r="F81" s="88">
        <v>25014.6</v>
      </c>
      <c r="G81" s="79">
        <f t="shared" si="7"/>
        <v>-4.4476573735768743E-2</v>
      </c>
      <c r="I81" s="91">
        <v>576.95000000000005</v>
      </c>
      <c r="J81" s="82">
        <f t="shared" si="8"/>
        <v>-6.8004429243346542E-2</v>
      </c>
      <c r="K81" s="42"/>
      <c r="L81" s="86">
        <v>292.10000000000002</v>
      </c>
      <c r="M81" s="82">
        <f t="shared" si="9"/>
        <v>-5.5762081784386575E-2</v>
      </c>
      <c r="N81" s="42"/>
      <c r="O81" s="78">
        <v>3820.7</v>
      </c>
      <c r="P81" s="82">
        <f t="shared" si="10"/>
        <v>1.000568354547493E-2</v>
      </c>
      <c r="Q81" s="42"/>
      <c r="R81" s="78">
        <v>1460.45</v>
      </c>
      <c r="S81" s="82">
        <f t="shared" si="11"/>
        <v>-7.5093442065918836E-3</v>
      </c>
    </row>
    <row r="82" spans="2:19" ht="16.5">
      <c r="B82" s="85">
        <v>45557</v>
      </c>
      <c r="C82" s="80">
        <v>3310.75</v>
      </c>
      <c r="D82" s="82">
        <f t="shared" si="6"/>
        <v>1.1490950876185124E-3</v>
      </c>
      <c r="E82"/>
      <c r="F82" s="88">
        <v>26178.95</v>
      </c>
      <c r="G82" s="79">
        <f t="shared" si="7"/>
        <v>1.5044036764834123E-2</v>
      </c>
      <c r="I82" s="91">
        <v>617.54999999999995</v>
      </c>
      <c r="J82" s="82">
        <f t="shared" si="8"/>
        <v>-8.5456824480784292E-3</v>
      </c>
      <c r="K82" s="42"/>
      <c r="L82" s="86">
        <v>309.35000000000002</v>
      </c>
      <c r="M82" s="82">
        <f t="shared" si="9"/>
        <v>2.3829223895416307E-2</v>
      </c>
      <c r="N82" s="42"/>
      <c r="O82" s="78">
        <v>3782.85</v>
      </c>
      <c r="P82" s="82">
        <f t="shared" si="10"/>
        <v>2.0447525660565624E-2</v>
      </c>
      <c r="Q82" s="42"/>
      <c r="R82" s="78">
        <v>1471.5</v>
      </c>
      <c r="S82" s="82">
        <f t="shared" si="11"/>
        <v>-6.615810436778502E-3</v>
      </c>
    </row>
    <row r="83" spans="2:19" ht="16.5">
      <c r="B83" s="85">
        <v>45550</v>
      </c>
      <c r="C83" s="80">
        <v>3306.95</v>
      </c>
      <c r="D83" s="82">
        <f t="shared" si="6"/>
        <v>-1.5217164723574816E-2</v>
      </c>
      <c r="E83"/>
      <c r="F83" s="88">
        <v>25790.95</v>
      </c>
      <c r="G83" s="79">
        <f t="shared" si="7"/>
        <v>1.7133673811448702E-2</v>
      </c>
      <c r="I83" s="91">
        <v>622.85</v>
      </c>
      <c r="J83" s="82">
        <f t="shared" si="8"/>
        <v>3.2115616494422778E-4</v>
      </c>
      <c r="K83" s="42"/>
      <c r="L83" s="86">
        <v>302.14999999999998</v>
      </c>
      <c r="M83" s="82">
        <f t="shared" si="9"/>
        <v>-2.9704560051380891E-2</v>
      </c>
      <c r="N83" s="42"/>
      <c r="O83" s="78">
        <v>3707.05</v>
      </c>
      <c r="P83" s="82">
        <f t="shared" si="10"/>
        <v>4.4708783243689876E-3</v>
      </c>
      <c r="Q83" s="42"/>
      <c r="R83" s="78">
        <v>1481.3</v>
      </c>
      <c r="S83" s="82">
        <f t="shared" si="11"/>
        <v>-1.3880105182571767E-2</v>
      </c>
    </row>
    <row r="84" spans="2:19" ht="16.5">
      <c r="B84" s="85">
        <v>45543</v>
      </c>
      <c r="C84" s="80">
        <v>3358.05</v>
      </c>
      <c r="D84" s="82">
        <f t="shared" si="6"/>
        <v>2.57659528973333E-2</v>
      </c>
      <c r="E84"/>
      <c r="F84" s="88">
        <v>25356.5</v>
      </c>
      <c r="G84" s="79">
        <f t="shared" si="7"/>
        <v>2.0294018827344829E-2</v>
      </c>
      <c r="I84" s="91">
        <v>622.65</v>
      </c>
      <c r="J84" s="82">
        <f t="shared" si="8"/>
        <v>4.3240667038097327E-2</v>
      </c>
      <c r="K84" s="42"/>
      <c r="L84" s="86">
        <v>311.39999999999998</v>
      </c>
      <c r="M84" s="82">
        <f t="shared" si="9"/>
        <v>1.7480803790230315E-2</v>
      </c>
      <c r="N84" s="42"/>
      <c r="O84" s="78">
        <v>3690.55</v>
      </c>
      <c r="P84" s="82">
        <f t="shared" si="10"/>
        <v>-2.1165143819539267E-2</v>
      </c>
      <c r="Q84" s="42"/>
      <c r="R84" s="78">
        <v>1502.15</v>
      </c>
      <c r="S84" s="82">
        <f t="shared" si="11"/>
        <v>1.5412174265724943E-2</v>
      </c>
    </row>
    <row r="85" spans="2:19" ht="16.5">
      <c r="B85" s="85">
        <v>45536</v>
      </c>
      <c r="C85" s="80">
        <v>3273.7</v>
      </c>
      <c r="D85" s="82">
        <f t="shared" si="6"/>
        <v>4.698093897914779E-2</v>
      </c>
      <c r="E85"/>
      <c r="F85" s="88">
        <v>24852.15</v>
      </c>
      <c r="G85" s="79">
        <f t="shared" si="7"/>
        <v>-1.5206511358818231E-2</v>
      </c>
      <c r="I85" s="91">
        <v>596.29999999999995</v>
      </c>
      <c r="J85" s="82">
        <f t="shared" si="8"/>
        <v>4.3267124632444212E-2</v>
      </c>
      <c r="K85" s="42"/>
      <c r="L85" s="86">
        <v>306.05</v>
      </c>
      <c r="M85" s="82">
        <f t="shared" si="9"/>
        <v>3.2209106239460494E-2</v>
      </c>
      <c r="N85" s="42"/>
      <c r="O85" s="78">
        <v>3770.35</v>
      </c>
      <c r="P85" s="82">
        <f t="shared" si="10"/>
        <v>8.8076995223872023E-2</v>
      </c>
      <c r="Q85" s="42"/>
      <c r="R85" s="78">
        <v>1479.35</v>
      </c>
      <c r="S85" s="82">
        <f t="shared" si="11"/>
        <v>1.9889693209238057E-2</v>
      </c>
    </row>
    <row r="86" spans="2:19" ht="16.5">
      <c r="B86" s="85">
        <v>45529</v>
      </c>
      <c r="C86" s="80">
        <v>3126.8</v>
      </c>
      <c r="D86" s="82">
        <f t="shared" si="6"/>
        <v>-8.8282376808836993E-3</v>
      </c>
      <c r="E86"/>
      <c r="F86" s="88">
        <v>25235.9</v>
      </c>
      <c r="G86" s="79">
        <f t="shared" si="7"/>
        <v>1.6627623810837822E-2</v>
      </c>
      <c r="I86" s="91">
        <v>571.04999999999995</v>
      </c>
      <c r="J86" s="82">
        <f t="shared" si="8"/>
        <v>9.412869147505807E-3</v>
      </c>
      <c r="K86" s="42"/>
      <c r="L86" s="86">
        <v>296.5</v>
      </c>
      <c r="M86" s="82">
        <f t="shared" si="9"/>
        <v>7.4753652735304321E-3</v>
      </c>
      <c r="N86" s="42"/>
      <c r="O86" s="78">
        <v>3465.15</v>
      </c>
      <c r="P86" s="82">
        <f t="shared" si="10"/>
        <v>5.916065533683823E-2</v>
      </c>
      <c r="Q86" s="42"/>
      <c r="R86" s="78">
        <v>1450.5</v>
      </c>
      <c r="S86" s="82">
        <f t="shared" si="11"/>
        <v>7.5893473161303682E-4</v>
      </c>
    </row>
    <row r="87" spans="2:19" ht="16.5">
      <c r="B87" s="85">
        <v>45522</v>
      </c>
      <c r="C87" s="80">
        <v>3154.65</v>
      </c>
      <c r="D87" s="82">
        <f t="shared" si="6"/>
        <v>3.4939225431819265E-2</v>
      </c>
      <c r="E87"/>
      <c r="F87" s="88">
        <v>24823.15</v>
      </c>
      <c r="G87" s="79">
        <f t="shared" si="7"/>
        <v>1.1490904052988471E-2</v>
      </c>
      <c r="I87" s="91">
        <v>565.70000000000005</v>
      </c>
      <c r="J87" s="82">
        <f t="shared" si="8"/>
        <v>2.832745883534105E-2</v>
      </c>
      <c r="K87" s="42"/>
      <c r="L87" s="86">
        <v>294.3</v>
      </c>
      <c r="M87" s="82">
        <f t="shared" si="9"/>
        <v>1.4477766287487093E-2</v>
      </c>
      <c r="N87" s="42"/>
      <c r="O87" s="78">
        <v>3271.6</v>
      </c>
      <c r="P87" s="82">
        <f t="shared" si="10"/>
        <v>2.583720055186256E-2</v>
      </c>
      <c r="Q87" s="42"/>
      <c r="R87" s="78">
        <v>1449.4</v>
      </c>
      <c r="S87" s="82">
        <f t="shared" si="11"/>
        <v>9.7885533145227743E-3</v>
      </c>
    </row>
    <row r="88" spans="2:19" ht="16.5">
      <c r="B88" s="85">
        <v>45515</v>
      </c>
      <c r="C88" s="80">
        <v>3048.15</v>
      </c>
      <c r="D88" s="82">
        <f t="shared" si="6"/>
        <v>2.4830625534435491E-3</v>
      </c>
      <c r="E88"/>
      <c r="F88" s="88">
        <v>24541.15</v>
      </c>
      <c r="G88" s="79">
        <f t="shared" si="7"/>
        <v>7.1262952703396998E-3</v>
      </c>
      <c r="I88" s="91">
        <v>549.9</v>
      </c>
      <c r="J88" s="82">
        <f t="shared" si="8"/>
        <v>3.3751065416673817E-2</v>
      </c>
      <c r="K88" s="42"/>
      <c r="L88" s="86">
        <v>290.10000000000002</v>
      </c>
      <c r="M88" s="82">
        <f t="shared" si="9"/>
        <v>-1.225740551583232E-2</v>
      </c>
      <c r="N88" s="42"/>
      <c r="O88" s="78">
        <v>3189.2</v>
      </c>
      <c r="P88" s="82">
        <f t="shared" si="10"/>
        <v>-4.647720987248305E-2</v>
      </c>
      <c r="Q88" s="42"/>
      <c r="R88" s="78">
        <v>1435.35</v>
      </c>
      <c r="S88" s="82">
        <f t="shared" si="11"/>
        <v>9.0688600653801021E-3</v>
      </c>
    </row>
    <row r="89" spans="2:19" ht="16.5">
      <c r="B89" s="85">
        <v>45508</v>
      </c>
      <c r="C89" s="80">
        <v>3040.6</v>
      </c>
      <c r="D89" s="82">
        <f t="shared" si="6"/>
        <v>-2.1276595744680771E-2</v>
      </c>
      <c r="E89"/>
      <c r="F89" s="88">
        <v>24367.5</v>
      </c>
      <c r="G89" s="79">
        <f t="shared" si="7"/>
        <v>-1.4167984885325113E-2</v>
      </c>
      <c r="I89" s="91">
        <v>531.65</v>
      </c>
      <c r="J89" s="82">
        <f t="shared" si="8"/>
        <v>-3.4387342309475946E-2</v>
      </c>
      <c r="K89" s="42"/>
      <c r="L89" s="86">
        <v>293.7</v>
      </c>
      <c r="M89" s="82">
        <f t="shared" si="9"/>
        <v>-2.941176470588247E-2</v>
      </c>
      <c r="N89" s="42"/>
      <c r="O89" s="78">
        <v>3344.65</v>
      </c>
      <c r="P89" s="82">
        <f t="shared" si="10"/>
        <v>7.2862870890136433E-2</v>
      </c>
      <c r="Q89" s="42"/>
      <c r="R89" s="78">
        <v>1422.45</v>
      </c>
      <c r="S89" s="82">
        <f t="shared" si="11"/>
        <v>-3.9534098582039157E-2</v>
      </c>
    </row>
    <row r="90" spans="2:19" ht="16.5">
      <c r="B90" s="85">
        <v>45501</v>
      </c>
      <c r="C90" s="80">
        <v>3106.7</v>
      </c>
      <c r="D90" s="82">
        <f t="shared" si="6"/>
        <v>5.3065098384827758E-2</v>
      </c>
      <c r="E90"/>
      <c r="F90" s="88">
        <v>24717.7</v>
      </c>
      <c r="G90" s="79">
        <f t="shared" si="7"/>
        <v>-4.7171615693268887E-3</v>
      </c>
      <c r="I90" s="91">
        <v>550.25</v>
      </c>
      <c r="J90" s="82">
        <f t="shared" si="8"/>
        <v>1.4368983780385269E-2</v>
      </c>
      <c r="K90" s="42"/>
      <c r="L90" s="86">
        <v>302.60000000000002</v>
      </c>
      <c r="M90" s="82">
        <f t="shared" si="9"/>
        <v>9.9164547766073419E-2</v>
      </c>
      <c r="N90" s="42"/>
      <c r="O90" s="78">
        <v>3117.5</v>
      </c>
      <c r="P90" s="82">
        <f t="shared" si="10"/>
        <v>8.5329341317365248E-2</v>
      </c>
      <c r="Q90" s="42"/>
      <c r="R90" s="78">
        <v>1481</v>
      </c>
      <c r="S90" s="82">
        <f t="shared" si="11"/>
        <v>-7.3393880491974262E-3</v>
      </c>
    </row>
    <row r="91" spans="2:19" ht="16.5">
      <c r="B91" s="85">
        <v>45494</v>
      </c>
      <c r="C91" s="80">
        <v>2950.15</v>
      </c>
      <c r="D91" s="82">
        <f t="shared" si="6"/>
        <v>1.3916939631031244E-3</v>
      </c>
      <c r="E91"/>
      <c r="F91" s="88">
        <v>24834.85</v>
      </c>
      <c r="G91" s="79">
        <f t="shared" si="7"/>
        <v>1.2390495252925682E-2</v>
      </c>
      <c r="I91" s="91">
        <v>542.4</v>
      </c>
      <c r="J91" s="82">
        <f t="shared" si="8"/>
        <v>3.4989265389838216E-2</v>
      </c>
      <c r="K91" s="42"/>
      <c r="L91" s="86">
        <v>275.3</v>
      </c>
      <c r="M91" s="82">
        <f t="shared" si="9"/>
        <v>1.3996316758747795E-2</v>
      </c>
      <c r="N91" s="42"/>
      <c r="O91" s="78">
        <v>2872.4</v>
      </c>
      <c r="P91" s="82">
        <f t="shared" si="10"/>
        <v>1.0856750717038288E-2</v>
      </c>
      <c r="Q91" s="42"/>
      <c r="R91" s="78">
        <v>1491.95</v>
      </c>
      <c r="S91" s="82">
        <f t="shared" si="11"/>
        <v>2.6947962555066152E-2</v>
      </c>
    </row>
    <row r="92" spans="2:19" ht="16.5">
      <c r="B92" s="85">
        <v>45487</v>
      </c>
      <c r="C92" s="80">
        <v>2946.05</v>
      </c>
      <c r="D92" s="82">
        <f t="shared" si="6"/>
        <v>-1.7705016421319386E-2</v>
      </c>
      <c r="E92"/>
      <c r="F92" s="88">
        <v>24530.9</v>
      </c>
      <c r="G92" s="79">
        <f t="shared" si="7"/>
        <v>1.1733664188653403E-3</v>
      </c>
      <c r="I92" s="91">
        <v>523.75</v>
      </c>
      <c r="J92" s="82">
        <f t="shared" si="8"/>
        <v>-4.2867415013623685E-3</v>
      </c>
      <c r="K92" s="42"/>
      <c r="L92" s="86">
        <v>271.5</v>
      </c>
      <c r="M92" s="82">
        <f t="shared" si="9"/>
        <v>-2.373247033441217E-2</v>
      </c>
      <c r="N92" s="42"/>
      <c r="O92" s="78">
        <v>2841.55</v>
      </c>
      <c r="P92" s="82">
        <f t="shared" si="10"/>
        <v>-1.5060658578856079E-2</v>
      </c>
      <c r="Q92" s="42"/>
      <c r="R92" s="78">
        <v>1452.8</v>
      </c>
      <c r="S92" s="82">
        <f t="shared" si="11"/>
        <v>-4.474471512640954E-2</v>
      </c>
    </row>
    <row r="93" spans="2:19" ht="16.5">
      <c r="B93" s="85">
        <v>45480</v>
      </c>
      <c r="C93" s="80">
        <v>2999.15</v>
      </c>
      <c r="D93" s="82">
        <f t="shared" si="6"/>
        <v>2.1543649306856594E-2</v>
      </c>
      <c r="E93"/>
      <c r="F93" s="88">
        <v>24502.15</v>
      </c>
      <c r="G93" s="79">
        <f t="shared" si="7"/>
        <v>7.3302540510651326E-3</v>
      </c>
      <c r="I93" s="91">
        <v>526</v>
      </c>
      <c r="J93" s="82">
        <f t="shared" si="8"/>
        <v>2.2300039814300249E-2</v>
      </c>
      <c r="K93" s="42"/>
      <c r="L93" s="86">
        <v>278.10000000000002</v>
      </c>
      <c r="M93" s="82">
        <f t="shared" si="9"/>
        <v>4.1768121371043465E-2</v>
      </c>
      <c r="N93" s="42"/>
      <c r="O93" s="78">
        <v>2885</v>
      </c>
      <c r="P93" s="82">
        <f t="shared" si="10"/>
        <v>-2.0024117257426144E-2</v>
      </c>
      <c r="Q93" s="42"/>
      <c r="R93" s="78">
        <v>1520.85</v>
      </c>
      <c r="S93" s="82">
        <f t="shared" si="11"/>
        <v>8.6399028502035735E-2</v>
      </c>
    </row>
    <row r="94" spans="2:19" ht="16.5">
      <c r="B94" s="85">
        <v>45473</v>
      </c>
      <c r="C94" s="80">
        <v>2935.9</v>
      </c>
      <c r="D94" s="82">
        <f t="shared" si="6"/>
        <v>6.4620078503967449E-3</v>
      </c>
      <c r="E94"/>
      <c r="F94" s="88">
        <v>24323.85</v>
      </c>
      <c r="G94" s="79">
        <f t="shared" si="7"/>
        <v>1.3046321208133094E-2</v>
      </c>
      <c r="I94" s="91">
        <v>514.4</v>
      </c>
      <c r="J94" s="82">
        <f t="shared" si="8"/>
        <v>2.002815816959011E-2</v>
      </c>
      <c r="K94" s="42"/>
      <c r="L94" s="86">
        <v>266.95</v>
      </c>
      <c r="M94" s="82">
        <f t="shared" si="9"/>
        <v>-1.166234727878579E-2</v>
      </c>
      <c r="N94" s="42"/>
      <c r="O94" s="78">
        <v>2943.95</v>
      </c>
      <c r="P94" s="82">
        <f t="shared" si="10"/>
        <v>3.8283840022571569E-2</v>
      </c>
      <c r="Q94" s="42"/>
      <c r="R94" s="78">
        <v>1399.9</v>
      </c>
      <c r="S94" s="82">
        <f t="shared" si="11"/>
        <v>1.9592134013109996E-2</v>
      </c>
    </row>
    <row r="95" spans="2:19" ht="16.5">
      <c r="B95" s="85">
        <v>45466</v>
      </c>
      <c r="C95" s="80">
        <v>2917.05</v>
      </c>
      <c r="D95" s="82">
        <f t="shared" si="6"/>
        <v>9.0630783333622844E-3</v>
      </c>
      <c r="E95"/>
      <c r="F95" s="88">
        <v>24010.6</v>
      </c>
      <c r="G95" s="79">
        <f t="shared" si="7"/>
        <v>2.1679836262983532E-2</v>
      </c>
      <c r="I95" s="91">
        <v>504.2</v>
      </c>
      <c r="J95" s="82">
        <f t="shared" si="8"/>
        <v>3.9745680303347524E-3</v>
      </c>
      <c r="K95" s="42"/>
      <c r="L95" s="86">
        <v>270.10000000000002</v>
      </c>
      <c r="M95" s="82">
        <f t="shared" si="9"/>
        <v>-1.4772934524894921E-2</v>
      </c>
      <c r="N95" s="42"/>
      <c r="O95" s="78">
        <v>2835.4</v>
      </c>
      <c r="P95" s="82">
        <f t="shared" si="10"/>
        <v>-2.8456886360910705E-2</v>
      </c>
      <c r="Q95" s="42"/>
      <c r="R95" s="78">
        <v>1373</v>
      </c>
      <c r="S95" s="82">
        <f t="shared" si="11"/>
        <v>7.262856723644795E-3</v>
      </c>
    </row>
    <row r="96" spans="2:19" ht="16.5">
      <c r="B96" s="85">
        <v>45459</v>
      </c>
      <c r="C96" s="80">
        <v>2890.85</v>
      </c>
      <c r="D96" s="82">
        <f t="shared" si="6"/>
        <v>-1.0525054764512598E-2</v>
      </c>
      <c r="E96"/>
      <c r="F96" s="88">
        <v>23501.1</v>
      </c>
      <c r="G96" s="79">
        <f t="shared" si="7"/>
        <v>1.5128528569481325E-3</v>
      </c>
      <c r="I96" s="91">
        <v>502.2</v>
      </c>
      <c r="J96" s="82">
        <f t="shared" si="8"/>
        <v>-9.9512397504494766E-4</v>
      </c>
      <c r="K96" s="42"/>
      <c r="L96" s="86">
        <v>274.14999999999998</v>
      </c>
      <c r="M96" s="82">
        <f t="shared" si="9"/>
        <v>-2.6628794603230976E-2</v>
      </c>
      <c r="N96" s="42"/>
      <c r="O96" s="78">
        <v>2918.45</v>
      </c>
      <c r="P96" s="82">
        <f t="shared" si="10"/>
        <v>2.4664700512604387E-2</v>
      </c>
      <c r="Q96" s="42"/>
      <c r="R96" s="78">
        <v>1363.1</v>
      </c>
      <c r="S96" s="82">
        <f t="shared" si="11"/>
        <v>-8.5824423594444976E-3</v>
      </c>
    </row>
    <row r="97" spans="2:19" ht="16.5">
      <c r="B97" s="85">
        <v>45452</v>
      </c>
      <c r="C97" s="80">
        <v>2921.6</v>
      </c>
      <c r="D97" s="82">
        <f t="shared" si="6"/>
        <v>-2.0835468114902556E-3</v>
      </c>
      <c r="E97"/>
      <c r="F97" s="88">
        <v>23465.599999999999</v>
      </c>
      <c r="G97" s="79">
        <f t="shared" si="7"/>
        <v>7.5332275661599279E-3</v>
      </c>
      <c r="I97" s="91">
        <v>502.7</v>
      </c>
      <c r="J97" s="82">
        <f t="shared" si="8"/>
        <v>4.090902834538454E-2</v>
      </c>
      <c r="K97" s="42"/>
      <c r="L97" s="86">
        <v>281.64999999999998</v>
      </c>
      <c r="M97" s="82">
        <f t="shared" si="9"/>
        <v>1.7631968782743757E-2</v>
      </c>
      <c r="N97" s="42"/>
      <c r="O97" s="78">
        <v>2848.2</v>
      </c>
      <c r="P97" s="82">
        <f t="shared" si="10"/>
        <v>7.1779337334662907E-2</v>
      </c>
      <c r="Q97" s="42"/>
      <c r="R97" s="78">
        <v>1374.9</v>
      </c>
      <c r="S97" s="82">
        <f t="shared" si="11"/>
        <v>6.7733313806612738E-3</v>
      </c>
    </row>
    <row r="98" spans="2:19" ht="16.5">
      <c r="B98" s="85">
        <v>45445</v>
      </c>
      <c r="C98" s="80">
        <v>2927.7</v>
      </c>
      <c r="D98" s="82">
        <f t="shared" si="6"/>
        <v>1.6139108704706473E-2</v>
      </c>
      <c r="E98"/>
      <c r="F98" s="88">
        <v>23290.15</v>
      </c>
      <c r="G98" s="79">
        <f t="shared" si="7"/>
        <v>3.3707341538434354E-2</v>
      </c>
      <c r="I98" s="91">
        <v>482.55</v>
      </c>
      <c r="J98" s="82">
        <f t="shared" si="8"/>
        <v>4.7858052870004414E-2</v>
      </c>
      <c r="K98" s="42"/>
      <c r="L98" s="86">
        <v>276.77</v>
      </c>
      <c r="M98" s="82">
        <f t="shared" si="9"/>
        <v>3.1146380537237617E-2</v>
      </c>
      <c r="N98" s="42"/>
      <c r="O98" s="78">
        <v>2657.45</v>
      </c>
      <c r="P98" s="82">
        <f t="shared" si="10"/>
        <v>3.5820779170158357E-2</v>
      </c>
      <c r="Q98" s="42"/>
      <c r="R98" s="78">
        <v>1365.65</v>
      </c>
      <c r="S98" s="82">
        <f t="shared" si="11"/>
        <v>1.891367604267713E-2</v>
      </c>
    </row>
    <row r="99" spans="2:19" ht="16.5">
      <c r="B99" s="85">
        <v>45438</v>
      </c>
      <c r="C99" s="80">
        <v>2881.2</v>
      </c>
      <c r="D99" s="82">
        <f t="shared" si="6"/>
        <v>2.2436733629009886E-3</v>
      </c>
      <c r="E99"/>
      <c r="F99" s="88">
        <v>22530.7</v>
      </c>
      <c r="G99" s="79">
        <f t="shared" si="7"/>
        <v>-1.8573774562117951E-2</v>
      </c>
      <c r="I99" s="91">
        <v>460</v>
      </c>
      <c r="J99" s="82">
        <f t="shared" si="8"/>
        <v>-5.8473973232866149E-2</v>
      </c>
      <c r="K99" s="42"/>
      <c r="L99" s="86">
        <v>268.41000000000003</v>
      </c>
      <c r="M99" s="82">
        <f t="shared" si="9"/>
        <v>-1.3343625937362158E-2</v>
      </c>
      <c r="N99" s="42"/>
      <c r="O99" s="78">
        <v>2565.5500000000002</v>
      </c>
      <c r="P99" s="82">
        <f t="shared" si="10"/>
        <v>-2.624110718034478E-3</v>
      </c>
      <c r="Q99" s="42"/>
      <c r="R99" s="78">
        <v>1340.3</v>
      </c>
      <c r="S99" s="82">
        <f t="shared" si="11"/>
        <v>-1.1869654969035803E-2</v>
      </c>
    </row>
    <row r="100" spans="2:19" ht="16.5">
      <c r="B100" s="85">
        <v>45431</v>
      </c>
      <c r="C100" s="80">
        <v>2874.75</v>
      </c>
      <c r="D100" s="82">
        <f t="shared" si="6"/>
        <v>2.3079113135698659E-2</v>
      </c>
      <c r="E100"/>
      <c r="F100" s="88">
        <v>22957.1</v>
      </c>
      <c r="G100" s="79">
        <f t="shared" si="7"/>
        <v>2.1855150649200406E-2</v>
      </c>
      <c r="I100" s="91">
        <v>487.7</v>
      </c>
      <c r="J100" s="82">
        <f t="shared" si="8"/>
        <v>-8.473329242760121E-3</v>
      </c>
      <c r="K100" s="42"/>
      <c r="L100" s="86">
        <v>272.04000000000002</v>
      </c>
      <c r="M100" s="82">
        <f t="shared" si="9"/>
        <v>-1.2845634661441174E-2</v>
      </c>
      <c r="N100" s="42"/>
      <c r="O100" s="78">
        <v>2572.3000000000002</v>
      </c>
      <c r="P100" s="82">
        <f t="shared" si="10"/>
        <v>-1.5726639626540084E-2</v>
      </c>
      <c r="Q100" s="42"/>
      <c r="R100" s="78">
        <v>1356.4</v>
      </c>
      <c r="S100" s="82">
        <f t="shared" si="11"/>
        <v>-1.2378039900975635E-2</v>
      </c>
    </row>
    <row r="101" spans="2:19" ht="16.5">
      <c r="B101" s="85">
        <v>45424</v>
      </c>
      <c r="C101" s="80">
        <v>2809.9</v>
      </c>
      <c r="D101" s="82">
        <f t="shared" si="6"/>
        <v>1.3946774921064442E-2</v>
      </c>
      <c r="E101"/>
      <c r="F101" s="88">
        <v>22466.1</v>
      </c>
      <c r="G101" s="79">
        <f t="shared" si="7"/>
        <v>1.8630527041241907E-2</v>
      </c>
      <c r="I101" s="91">
        <v>491.85</v>
      </c>
      <c r="J101" s="82">
        <f t="shared" si="8"/>
        <v>3.2583268823114034E-3</v>
      </c>
      <c r="K101" s="42"/>
      <c r="L101" s="86">
        <v>275.58</v>
      </c>
      <c r="M101" s="82">
        <f t="shared" si="9"/>
        <v>-3.7596703058347947E-3</v>
      </c>
      <c r="N101" s="42"/>
      <c r="O101" s="78">
        <v>2613.4</v>
      </c>
      <c r="P101" s="82">
        <f t="shared" si="10"/>
        <v>4.753888087221414E-2</v>
      </c>
      <c r="Q101" s="42"/>
      <c r="R101" s="78">
        <v>1373.4</v>
      </c>
      <c r="S101" s="82">
        <f t="shared" si="11"/>
        <v>1.3916060684360243E-2</v>
      </c>
    </row>
    <row r="102" spans="2:19" ht="16.5">
      <c r="B102" s="85">
        <v>45417</v>
      </c>
      <c r="C102" s="80">
        <v>2771.25</v>
      </c>
      <c r="D102" s="82">
        <f t="shared" si="6"/>
        <v>-5.4100179196177156E-2</v>
      </c>
      <c r="E102"/>
      <c r="F102" s="88">
        <v>22055.200000000001</v>
      </c>
      <c r="G102" s="79">
        <f t="shared" si="7"/>
        <v>-1.8715643679771743E-2</v>
      </c>
      <c r="I102" s="91">
        <v>490.25</v>
      </c>
      <c r="J102" s="82">
        <f t="shared" si="8"/>
        <v>-6.514389624965343E-2</v>
      </c>
      <c r="K102" s="42"/>
      <c r="L102" s="86">
        <v>276.62</v>
      </c>
      <c r="M102" s="82">
        <f t="shared" si="9"/>
        <v>-3.3743188486796027E-2</v>
      </c>
      <c r="N102" s="42"/>
      <c r="O102" s="78">
        <v>2494.8000000000002</v>
      </c>
      <c r="P102" s="82">
        <f t="shared" si="10"/>
        <v>-7.8542880435863438E-3</v>
      </c>
      <c r="Q102" s="42"/>
      <c r="R102" s="78">
        <v>1354.55</v>
      </c>
      <c r="S102" s="82">
        <f t="shared" si="11"/>
        <v>-1.8584263150268177E-2</v>
      </c>
    </row>
    <row r="103" spans="2:19" ht="16.5">
      <c r="B103" s="85">
        <v>45410</v>
      </c>
      <c r="C103" s="80">
        <v>2929.75</v>
      </c>
      <c r="D103" s="82">
        <f t="shared" si="6"/>
        <v>3.0096865495842229E-2</v>
      </c>
      <c r="E103"/>
      <c r="F103" s="88">
        <v>22475.85</v>
      </c>
      <c r="G103" s="79">
        <f t="shared" si="7"/>
        <v>2.4933151055197555E-3</v>
      </c>
      <c r="I103" s="91">
        <v>523.25</v>
      </c>
      <c r="J103" s="82">
        <f t="shared" si="8"/>
        <v>3.9270403828836252E-2</v>
      </c>
      <c r="K103" s="42"/>
      <c r="L103" s="86">
        <v>286.27999999999997</v>
      </c>
      <c r="M103" s="82">
        <f t="shared" si="9"/>
        <v>2.7345151797889766E-2</v>
      </c>
      <c r="N103" s="42"/>
      <c r="O103" s="78">
        <v>2514.5500000000002</v>
      </c>
      <c r="P103" s="82">
        <f t="shared" si="10"/>
        <v>2.9709254709254784E-2</v>
      </c>
      <c r="Q103" s="42"/>
      <c r="R103" s="78">
        <v>1380.2</v>
      </c>
      <c r="S103" s="82">
        <f t="shared" si="11"/>
        <v>4.1660377358490708E-2</v>
      </c>
    </row>
    <row r="104" spans="2:19" ht="16.5">
      <c r="B104" s="85">
        <v>45403</v>
      </c>
      <c r="C104" s="80">
        <v>2844.15</v>
      </c>
      <c r="D104" s="82">
        <f t="shared" si="6"/>
        <v>1.2675579925584435E-2</v>
      </c>
      <c r="E104"/>
      <c r="F104" s="88">
        <v>22419.95</v>
      </c>
      <c r="G104" s="79">
        <f t="shared" si="7"/>
        <v>1.2324468325281002E-2</v>
      </c>
      <c r="I104" s="91">
        <v>503.1</v>
      </c>
      <c r="J104" s="82">
        <f t="shared" si="8"/>
        <v>-2.8779854132648624E-3</v>
      </c>
      <c r="K104" s="42"/>
      <c r="L104" s="86">
        <v>278.66000000000003</v>
      </c>
      <c r="M104" s="82">
        <f t="shared" si="9"/>
        <v>2.3958256779598841E-2</v>
      </c>
      <c r="N104" s="42"/>
      <c r="O104" s="78">
        <v>2442</v>
      </c>
      <c r="P104" s="82">
        <f t="shared" si="10"/>
        <v>1.4857142857142902E-2</v>
      </c>
      <c r="Q104" s="42"/>
      <c r="R104" s="78">
        <v>1325</v>
      </c>
      <c r="S104" s="82">
        <f t="shared" si="11"/>
        <v>9.7161364069346945E-3</v>
      </c>
    </row>
    <row r="105" spans="2:19" ht="16.5">
      <c r="B105" s="85">
        <v>45396</v>
      </c>
      <c r="C105" s="80">
        <v>2808.55</v>
      </c>
      <c r="D105" s="82">
        <f t="shared" si="6"/>
        <v>-1.6097390085829333E-2</v>
      </c>
      <c r="E105"/>
      <c r="F105" s="88">
        <v>22147</v>
      </c>
      <c r="G105" s="79">
        <f t="shared" si="7"/>
        <v>-1.6536852669254087E-2</v>
      </c>
      <c r="I105" s="91">
        <v>504.55</v>
      </c>
      <c r="J105" s="82">
        <f t="shared" si="8"/>
        <v>-9.8449363226939215E-2</v>
      </c>
      <c r="K105" s="42"/>
      <c r="L105" s="86">
        <v>272.14</v>
      </c>
      <c r="M105" s="82">
        <f t="shared" si="9"/>
        <v>-2.5146869178965581E-2</v>
      </c>
      <c r="N105" s="42"/>
      <c r="O105" s="78">
        <v>2406.25</v>
      </c>
      <c r="P105" s="82">
        <f t="shared" si="10"/>
        <v>-2.0136824530683661E-2</v>
      </c>
      <c r="Q105" s="42"/>
      <c r="R105" s="78">
        <v>1312.25</v>
      </c>
      <c r="S105" s="82">
        <f t="shared" si="11"/>
        <v>-2.6376316960973423E-2</v>
      </c>
    </row>
    <row r="106" spans="2:19" ht="16.5">
      <c r="B106" s="85">
        <v>45389</v>
      </c>
      <c r="C106" s="80">
        <v>2854.5</v>
      </c>
      <c r="D106" s="82">
        <f t="shared" si="6"/>
        <v>-1.0040056182697765E-2</v>
      </c>
      <c r="E106"/>
      <c r="F106" s="88">
        <v>22519.4</v>
      </c>
      <c r="G106" s="79">
        <f t="shared" si="7"/>
        <v>2.5317917534661838E-4</v>
      </c>
      <c r="I106" s="91">
        <v>556.75</v>
      </c>
      <c r="J106" s="82">
        <f t="shared" si="8"/>
        <v>-9.6524120582915374E-3</v>
      </c>
      <c r="K106" s="42"/>
      <c r="L106" s="86">
        <v>279.16000000000003</v>
      </c>
      <c r="M106" s="82">
        <f t="shared" si="9"/>
        <v>-1.6661382930007962E-2</v>
      </c>
      <c r="N106" s="42"/>
      <c r="O106" s="78">
        <v>2455.6999999999998</v>
      </c>
      <c r="P106" s="82">
        <f t="shared" si="10"/>
        <v>-6.8349106203996479E-3</v>
      </c>
      <c r="Q106" s="42"/>
      <c r="R106" s="78">
        <v>1347.8</v>
      </c>
      <c r="S106" s="82">
        <f t="shared" si="11"/>
        <v>-3.3592657656042801E-2</v>
      </c>
    </row>
    <row r="107" spans="2:19" ht="16.5">
      <c r="B107" s="85">
        <v>45382</v>
      </c>
      <c r="C107" s="80">
        <v>2883.45</v>
      </c>
      <c r="D107" s="82">
        <f t="shared" si="6"/>
        <v>1.2891894265390391E-2</v>
      </c>
      <c r="E107"/>
      <c r="F107" s="88">
        <v>22513.7</v>
      </c>
      <c r="G107" s="79">
        <f t="shared" si="7"/>
        <v>8.3665891816597782E-3</v>
      </c>
      <c r="I107" s="91">
        <v>562.15</v>
      </c>
      <c r="J107" s="82">
        <f t="shared" si="8"/>
        <v>-1.9204254746939528E-2</v>
      </c>
      <c r="K107" s="42"/>
      <c r="L107" s="86">
        <v>283.89</v>
      </c>
      <c r="M107" s="82">
        <f t="shared" si="9"/>
        <v>8.7326209353096651E-2</v>
      </c>
      <c r="N107" s="42"/>
      <c r="O107" s="78">
        <v>2472.6</v>
      </c>
      <c r="P107" s="82">
        <f t="shared" si="10"/>
        <v>3.6859982387721812E-2</v>
      </c>
      <c r="Q107" s="42"/>
      <c r="R107" s="78">
        <v>1394.65</v>
      </c>
      <c r="S107" s="82">
        <f t="shared" si="11"/>
        <v>0.10985993951933803</v>
      </c>
    </row>
    <row r="108" spans="2:19" ht="16.5">
      <c r="B108" s="85">
        <v>45375</v>
      </c>
      <c r="C108" s="80">
        <v>2846.75</v>
      </c>
      <c r="D108" s="82">
        <f t="shared" si="6"/>
        <v>1.8476156959352785E-3</v>
      </c>
      <c r="E108"/>
      <c r="F108" s="88">
        <v>22326.9</v>
      </c>
      <c r="G108" s="79">
        <f t="shared" si="7"/>
        <v>1.0415558849152129E-2</v>
      </c>
      <c r="I108" s="91">
        <v>573.04999999999995</v>
      </c>
      <c r="J108" s="82">
        <f t="shared" si="8"/>
        <v>2.5986967050906931E-2</v>
      </c>
      <c r="K108" s="42"/>
      <c r="L108" s="86">
        <v>261.08999999999997</v>
      </c>
      <c r="M108" s="82">
        <f t="shared" si="9"/>
        <v>-2.3816645479697862E-2</v>
      </c>
      <c r="N108" s="42"/>
      <c r="O108" s="78">
        <v>2384.6999999999998</v>
      </c>
      <c r="P108" s="82">
        <f t="shared" si="10"/>
        <v>-3.1593908629441669E-2</v>
      </c>
      <c r="Q108" s="42"/>
      <c r="R108" s="78">
        <v>1256.5999999999999</v>
      </c>
      <c r="S108" s="82">
        <f t="shared" si="11"/>
        <v>-4.8894943990311912E-2</v>
      </c>
    </row>
    <row r="109" spans="2:19" ht="16.5">
      <c r="B109" s="85">
        <v>45368</v>
      </c>
      <c r="C109" s="80">
        <v>2841.5</v>
      </c>
      <c r="D109" s="82">
        <f t="shared" si="6"/>
        <v>-9.0844100364423364E-3</v>
      </c>
      <c r="E109"/>
      <c r="F109" s="88">
        <v>22096.75</v>
      </c>
      <c r="G109" s="79">
        <f t="shared" si="7"/>
        <v>3.3328262957270649E-3</v>
      </c>
      <c r="I109" s="91">
        <v>558.35</v>
      </c>
      <c r="J109" s="82">
        <f t="shared" si="8"/>
        <v>9.8553069841256311E-4</v>
      </c>
      <c r="K109" s="42"/>
      <c r="L109" s="86">
        <v>267.45999999999998</v>
      </c>
      <c r="M109" s="82">
        <f t="shared" si="9"/>
        <v>-9.9574310568202318E-3</v>
      </c>
      <c r="N109" s="42"/>
      <c r="O109" s="78">
        <v>2462.5</v>
      </c>
      <c r="P109" s="82">
        <f t="shared" si="10"/>
        <v>2.8226648294291889E-2</v>
      </c>
      <c r="Q109" s="42"/>
      <c r="R109" s="78">
        <v>1321.2</v>
      </c>
      <c r="S109" s="82">
        <f t="shared" si="11"/>
        <v>-1.5095605501509568E-2</v>
      </c>
    </row>
    <row r="110" spans="2:19" ht="16.5">
      <c r="B110" s="85">
        <v>45361</v>
      </c>
      <c r="C110" s="80">
        <v>2867.55</v>
      </c>
      <c r="D110" s="82">
        <f t="shared" si="6"/>
        <v>-1.0450958875476424E-3</v>
      </c>
      <c r="E110"/>
      <c r="F110" s="88">
        <v>22023.35</v>
      </c>
      <c r="G110" s="79">
        <f t="shared" si="7"/>
        <v>-2.0903770191899484E-2</v>
      </c>
      <c r="I110" s="91">
        <v>557.79999999999995</v>
      </c>
      <c r="J110" s="82">
        <f t="shared" si="8"/>
        <v>-2.7583078255880938E-2</v>
      </c>
      <c r="K110" s="42"/>
      <c r="L110" s="86">
        <v>270.14999999999998</v>
      </c>
      <c r="M110" s="82">
        <f t="shared" si="9"/>
        <v>-4.4731258840169819E-2</v>
      </c>
      <c r="N110" s="42"/>
      <c r="O110" s="78">
        <v>2394.9</v>
      </c>
      <c r="P110" s="82">
        <f t="shared" si="10"/>
        <v>-9.8399966924379578E-3</v>
      </c>
      <c r="Q110" s="42"/>
      <c r="R110" s="78">
        <v>1341.45</v>
      </c>
      <c r="S110" s="82">
        <f t="shared" si="11"/>
        <v>-1.6207693153899694E-2</v>
      </c>
    </row>
    <row r="111" spans="2:19" ht="16.5">
      <c r="B111" s="85">
        <v>45354</v>
      </c>
      <c r="C111" s="80">
        <v>2870.55</v>
      </c>
      <c r="D111" s="82">
        <f t="shared" si="6"/>
        <v>1.3701774521055921E-2</v>
      </c>
      <c r="E111"/>
      <c r="F111" s="88">
        <v>22493.55</v>
      </c>
      <c r="G111" s="79">
        <f t="shared" si="7"/>
        <v>6.929662581836471E-3</v>
      </c>
      <c r="I111" s="91">
        <v>573.4</v>
      </c>
      <c r="J111" s="82">
        <f t="shared" si="8"/>
        <v>-2.7097266710080243E-2</v>
      </c>
      <c r="K111" s="42"/>
      <c r="L111" s="86">
        <v>282.8</v>
      </c>
      <c r="M111" s="82">
        <f t="shared" si="9"/>
        <v>-2.0673892717387399E-2</v>
      </c>
      <c r="N111" s="42"/>
      <c r="O111" s="78">
        <v>2418.6999999999998</v>
      </c>
      <c r="P111" s="82">
        <f t="shared" si="10"/>
        <v>-3.1260638830479692E-2</v>
      </c>
      <c r="Q111" s="42"/>
      <c r="R111" s="78">
        <v>1363.55</v>
      </c>
      <c r="S111" s="82">
        <f t="shared" si="11"/>
        <v>-2.6696170455762225E-2</v>
      </c>
    </row>
    <row r="112" spans="2:19" ht="16.5">
      <c r="B112" s="85">
        <v>45347</v>
      </c>
      <c r="C112" s="80">
        <v>2831.75</v>
      </c>
      <c r="D112" s="82">
        <f t="shared" si="6"/>
        <v>-5.1641856025720356E-2</v>
      </c>
      <c r="E112"/>
      <c r="F112" s="88">
        <v>22338.75</v>
      </c>
      <c r="G112" s="79">
        <f t="shared" si="7"/>
        <v>5.6746816010659895E-3</v>
      </c>
      <c r="I112" s="91">
        <v>589.15</v>
      </c>
      <c r="J112" s="82">
        <f t="shared" si="8"/>
        <v>2.9716669238079172E-2</v>
      </c>
      <c r="K112" s="42"/>
      <c r="L112" s="86">
        <v>288.77</v>
      </c>
      <c r="M112" s="82">
        <f t="shared" si="9"/>
        <v>-3.9418535027609725E-2</v>
      </c>
      <c r="N112" s="42"/>
      <c r="O112" s="78">
        <v>2496.75</v>
      </c>
      <c r="P112" s="82">
        <f t="shared" si="10"/>
        <v>-8.664398595258993E-2</v>
      </c>
      <c r="Q112" s="42"/>
      <c r="R112" s="78">
        <v>1400.95</v>
      </c>
      <c r="S112" s="82">
        <f t="shared" si="11"/>
        <v>-2.947696570834768E-2</v>
      </c>
    </row>
    <row r="113" spans="2:19" ht="16.5">
      <c r="B113" s="85">
        <v>45340</v>
      </c>
      <c r="C113" s="80">
        <v>2985.95</v>
      </c>
      <c r="D113" s="82">
        <f t="shared" si="6"/>
        <v>-7.2974500482064775E-3</v>
      </c>
      <c r="E113"/>
      <c r="F113" s="88">
        <v>22212.7</v>
      </c>
      <c r="G113" s="79">
        <f t="shared" si="7"/>
        <v>7.8037448901351336E-3</v>
      </c>
      <c r="I113" s="91">
        <v>571.9</v>
      </c>
      <c r="J113" s="82">
        <f t="shared" si="8"/>
        <v>1.5862158451289705E-2</v>
      </c>
      <c r="K113" s="42"/>
      <c r="L113" s="86">
        <v>300.62</v>
      </c>
      <c r="M113" s="82">
        <f t="shared" si="9"/>
        <v>-8.0184787988780704E-3</v>
      </c>
      <c r="N113" s="42"/>
      <c r="O113" s="78">
        <v>2733.6</v>
      </c>
      <c r="P113" s="82">
        <f t="shared" si="10"/>
        <v>-3.7617278952278621E-2</v>
      </c>
      <c r="Q113" s="42"/>
      <c r="R113" s="78">
        <v>1443.5</v>
      </c>
      <c r="S113" s="82">
        <f t="shared" si="11"/>
        <v>-3.4254365424499889E-2</v>
      </c>
    </row>
    <row r="114" spans="2:19" ht="16.5">
      <c r="B114" s="85">
        <v>45333</v>
      </c>
      <c r="C114" s="80">
        <v>3007.9</v>
      </c>
      <c r="D114" s="82">
        <f t="shared" si="6"/>
        <v>1.9057137533244006E-2</v>
      </c>
      <c r="E114"/>
      <c r="F114" s="88">
        <v>22040.7</v>
      </c>
      <c r="G114" s="79">
        <f t="shared" si="7"/>
        <v>1.1853552163433978E-2</v>
      </c>
      <c r="I114" s="91">
        <v>562.9</v>
      </c>
      <c r="J114" s="82">
        <f t="shared" si="8"/>
        <v>1.5937305722697095E-2</v>
      </c>
      <c r="K114" s="42"/>
      <c r="L114" s="86">
        <v>303.05</v>
      </c>
      <c r="M114" s="82">
        <f t="shared" si="9"/>
        <v>-3.9004280957666171E-2</v>
      </c>
      <c r="N114" s="42"/>
      <c r="O114" s="78">
        <v>2840.45</v>
      </c>
      <c r="P114" s="82">
        <f t="shared" si="10"/>
        <v>-1.2326576028373837E-2</v>
      </c>
      <c r="Q114" s="42"/>
      <c r="R114" s="78">
        <v>1494.7</v>
      </c>
      <c r="S114" s="82">
        <f t="shared" si="11"/>
        <v>5.0165109253144102E-2</v>
      </c>
    </row>
    <row r="115" spans="2:19" ht="16.5">
      <c r="B115" s="85">
        <v>45326</v>
      </c>
      <c r="C115" s="80">
        <v>2951.65</v>
      </c>
      <c r="D115" s="82">
        <f t="shared" si="6"/>
        <v>5.2276674726696726E-3</v>
      </c>
      <c r="E115"/>
      <c r="F115" s="88">
        <v>21782.5</v>
      </c>
      <c r="G115" s="79">
        <f t="shared" si="7"/>
        <v>-3.2625904876955047E-3</v>
      </c>
      <c r="I115" s="91">
        <v>554</v>
      </c>
      <c r="J115" s="82">
        <f t="shared" si="8"/>
        <v>-2.7681888598637138E-2</v>
      </c>
      <c r="K115" s="42"/>
      <c r="L115" s="86">
        <v>315.35000000000002</v>
      </c>
      <c r="M115" s="82">
        <f t="shared" si="9"/>
        <v>-6.9764011799409942E-2</v>
      </c>
      <c r="N115" s="42"/>
      <c r="O115" s="78">
        <v>2875.9</v>
      </c>
      <c r="P115" s="82">
        <f t="shared" si="10"/>
        <v>7.2096924510717697E-2</v>
      </c>
      <c r="Q115" s="42"/>
      <c r="R115" s="78">
        <v>1423.3</v>
      </c>
      <c r="S115" s="82">
        <f t="shared" si="11"/>
        <v>3.1009937275352506E-3</v>
      </c>
    </row>
    <row r="116" spans="2:19" ht="16.5">
      <c r="B116" s="85">
        <v>45319</v>
      </c>
      <c r="C116" s="80">
        <v>2936.3</v>
      </c>
      <c r="D116" s="82">
        <f t="shared" si="6"/>
        <v>-4.3740675437405896E-3</v>
      </c>
      <c r="E116"/>
      <c r="F116" s="88">
        <v>21853.8</v>
      </c>
      <c r="G116" s="79">
        <f t="shared" si="7"/>
        <v>2.3472551352060167E-2</v>
      </c>
      <c r="I116" s="91">
        <v>569.54999999999995</v>
      </c>
      <c r="J116" s="82">
        <f t="shared" si="8"/>
        <v>2.6419148284731912E-2</v>
      </c>
      <c r="K116" s="42"/>
      <c r="L116" s="86">
        <v>339</v>
      </c>
      <c r="M116" s="82">
        <f t="shared" si="9"/>
        <v>2.3303549867181861E-2</v>
      </c>
      <c r="N116" s="42"/>
      <c r="O116" s="78">
        <v>2682.5</v>
      </c>
      <c r="P116" s="82">
        <f t="shared" si="10"/>
        <v>3.38182869255228E-2</v>
      </c>
      <c r="Q116" s="42"/>
      <c r="R116" s="78">
        <v>1418.9</v>
      </c>
      <c r="S116" s="82">
        <f t="shared" si="11"/>
        <v>-2.1448275862068877E-2</v>
      </c>
    </row>
    <row r="117" spans="2:19" ht="16.5">
      <c r="B117" s="85">
        <v>45312</v>
      </c>
      <c r="C117" s="80">
        <v>2949.2</v>
      </c>
      <c r="D117" s="82">
        <f t="shared" si="6"/>
        <v>-6.8433438097193489E-2</v>
      </c>
      <c r="E117"/>
      <c r="F117" s="88">
        <v>21352.6</v>
      </c>
      <c r="G117" s="79">
        <f t="shared" si="7"/>
        <v>-1.2477800799171379E-2</v>
      </c>
      <c r="I117" s="91">
        <v>554.70000000000005</v>
      </c>
      <c r="J117" s="82">
        <f t="shared" si="8"/>
        <v>-4.3479358381882438E-2</v>
      </c>
      <c r="K117" s="42"/>
      <c r="L117" s="86">
        <v>331.28</v>
      </c>
      <c r="M117" s="82">
        <f t="shared" si="9"/>
        <v>-3.3549215240095687E-2</v>
      </c>
      <c r="N117" s="42"/>
      <c r="O117" s="78">
        <v>2594.75</v>
      </c>
      <c r="P117" s="82">
        <f t="shared" si="10"/>
        <v>-3.759133563295125E-2</v>
      </c>
      <c r="Q117" s="42"/>
      <c r="R117" s="78">
        <v>1450</v>
      </c>
      <c r="S117" s="82">
        <f t="shared" si="11"/>
        <v>-1.3101922749702233E-2</v>
      </c>
    </row>
    <row r="118" spans="2:19" ht="16.5">
      <c r="B118" s="85">
        <v>45305</v>
      </c>
      <c r="C118" s="80">
        <v>3165.85</v>
      </c>
      <c r="D118" s="82">
        <f t="shared" si="6"/>
        <v>-3.4154005735554382E-2</v>
      </c>
      <c r="E118"/>
      <c r="F118" s="88">
        <v>21622.400000000001</v>
      </c>
      <c r="G118" s="79">
        <f t="shared" si="7"/>
        <v>-1.2430033958222397E-2</v>
      </c>
      <c r="I118" s="91">
        <v>579.35</v>
      </c>
      <c r="J118" s="82">
        <f t="shared" si="8"/>
        <v>-2.7998254836110473E-2</v>
      </c>
      <c r="K118" s="42"/>
      <c r="L118" s="86">
        <v>342.78</v>
      </c>
      <c r="M118" s="82">
        <f t="shared" si="9"/>
        <v>1.1747343565525314E-2</v>
      </c>
      <c r="N118" s="42"/>
      <c r="O118" s="78">
        <v>2696.1</v>
      </c>
      <c r="P118" s="82">
        <f t="shared" si="10"/>
        <v>1.300018786398649E-2</v>
      </c>
      <c r="Q118" s="42"/>
      <c r="R118" s="78">
        <v>1469.25</v>
      </c>
      <c r="S118" s="82">
        <f t="shared" si="11"/>
        <v>-1.0306153379812E-2</v>
      </c>
    </row>
    <row r="119" spans="2:19" ht="16.5">
      <c r="B119" s="85">
        <v>45298</v>
      </c>
      <c r="C119" s="80">
        <v>3277.8</v>
      </c>
      <c r="D119" s="82">
        <f t="shared" si="6"/>
        <v>-2.3170568163192296E-2</v>
      </c>
      <c r="E119"/>
      <c r="F119" s="88">
        <v>21894.55</v>
      </c>
      <c r="G119" s="79">
        <f t="shared" si="7"/>
        <v>8.4635296718684749E-3</v>
      </c>
      <c r="I119" s="91">
        <v>595.79999999999995</v>
      </c>
      <c r="J119" s="82">
        <f t="shared" si="8"/>
        <v>-9.2270274549626234E-4</v>
      </c>
      <c r="K119" s="42"/>
      <c r="L119" s="86">
        <v>338.8</v>
      </c>
      <c r="M119" s="82">
        <f t="shared" si="9"/>
        <v>1.0709704364428418E-2</v>
      </c>
      <c r="N119" s="42"/>
      <c r="O119" s="78">
        <v>2661.5</v>
      </c>
      <c r="P119" s="82">
        <f t="shared" si="10"/>
        <v>9.4020308386610907E-4</v>
      </c>
      <c r="Q119" s="42"/>
      <c r="R119" s="78">
        <v>1484.55</v>
      </c>
      <c r="S119" s="82">
        <f t="shared" si="11"/>
        <v>-9.474562135112663E-3</v>
      </c>
    </row>
    <row r="120" spans="2:19" ht="16.5">
      <c r="B120" s="85">
        <v>45291</v>
      </c>
      <c r="C120" s="80">
        <v>3355.55</v>
      </c>
      <c r="D120" s="82">
        <f t="shared" si="6"/>
        <v>-1.3769691982130183E-2</v>
      </c>
      <c r="E120"/>
      <c r="F120" s="88">
        <v>21710.799999999999</v>
      </c>
      <c r="G120" s="79">
        <f t="shared" si="7"/>
        <v>-9.479370864280412E-4</v>
      </c>
      <c r="I120" s="91">
        <v>596.35</v>
      </c>
      <c r="J120" s="82">
        <f t="shared" si="8"/>
        <v>-1.3822035206606333E-2</v>
      </c>
      <c r="K120" s="42"/>
      <c r="L120" s="86">
        <v>335.21</v>
      </c>
      <c r="M120" s="82">
        <f t="shared" si="9"/>
        <v>1.0338175899692548E-2</v>
      </c>
      <c r="N120" s="42"/>
      <c r="O120" s="78">
        <v>2659</v>
      </c>
      <c r="P120" s="82">
        <f t="shared" si="10"/>
        <v>1.9770273638995972E-2</v>
      </c>
      <c r="Q120" s="42"/>
      <c r="R120" s="78">
        <v>1498.75</v>
      </c>
      <c r="S120" s="82">
        <f t="shared" si="11"/>
        <v>5.5350553505535416E-3</v>
      </c>
    </row>
    <row r="121" spans="2:19" ht="16.5">
      <c r="B121" s="85">
        <v>45284</v>
      </c>
      <c r="C121" s="80">
        <v>3402.4</v>
      </c>
      <c r="D121" s="82">
        <f t="shared" si="6"/>
        <v>1.8286295753149995E-2</v>
      </c>
      <c r="E121"/>
      <c r="F121" s="88">
        <v>21731.4</v>
      </c>
      <c r="G121" s="79">
        <f t="shared" si="7"/>
        <v>1.7892774504201459E-2</v>
      </c>
      <c r="I121" s="91">
        <v>604.65</v>
      </c>
      <c r="J121" s="82">
        <f t="shared" si="8"/>
        <v>3.6205335094225549E-2</v>
      </c>
      <c r="K121" s="42"/>
      <c r="L121" s="86">
        <v>331.78</v>
      </c>
      <c r="M121" s="82">
        <f t="shared" si="9"/>
        <v>3.3485967043578535E-2</v>
      </c>
      <c r="N121" s="42"/>
      <c r="O121" s="78">
        <v>2607.4499999999998</v>
      </c>
      <c r="P121" s="82">
        <f t="shared" si="10"/>
        <v>1.6212950873979448E-2</v>
      </c>
      <c r="Q121" s="42"/>
      <c r="R121" s="78">
        <v>1490.5</v>
      </c>
      <c r="S121" s="82">
        <f t="shared" si="11"/>
        <v>1.6989628820960778E-2</v>
      </c>
    </row>
    <row r="122" spans="2:19" ht="16.5">
      <c r="B122" s="85">
        <v>45277</v>
      </c>
      <c r="C122" s="80">
        <v>3341.3</v>
      </c>
      <c r="D122" s="82">
        <f t="shared" si="6"/>
        <v>8.2682036271461978E-3</v>
      </c>
      <c r="E122"/>
      <c r="F122" s="88">
        <v>21349.4</v>
      </c>
      <c r="G122" s="79">
        <f t="shared" si="7"/>
        <v>-4.9984503638732525E-3</v>
      </c>
      <c r="I122" s="91">
        <v>583.15</v>
      </c>
      <c r="J122" s="82">
        <f t="shared" si="8"/>
        <v>-4.5339912565742118E-3</v>
      </c>
      <c r="K122" s="42"/>
      <c r="L122" s="86">
        <v>321.02999999999997</v>
      </c>
      <c r="M122" s="82">
        <f t="shared" si="9"/>
        <v>-3.1379175089762623E-2</v>
      </c>
      <c r="N122" s="42"/>
      <c r="O122" s="78">
        <v>2565.85</v>
      </c>
      <c r="P122" s="82">
        <f t="shared" si="10"/>
        <v>4.5414505236369695E-3</v>
      </c>
      <c r="Q122" s="42"/>
      <c r="R122" s="78">
        <v>1465.6</v>
      </c>
      <c r="S122" s="82">
        <f t="shared" si="11"/>
        <v>-8.9931705997702283E-3</v>
      </c>
    </row>
    <row r="123" spans="2:19" ht="16.5">
      <c r="B123" s="85">
        <v>45270</v>
      </c>
      <c r="C123" s="80">
        <v>3313.9</v>
      </c>
      <c r="D123" s="82">
        <f t="shared" si="6"/>
        <v>2.5340346534653557E-2</v>
      </c>
      <c r="E123"/>
      <c r="F123" s="88">
        <v>21456.65</v>
      </c>
      <c r="G123" s="79">
        <f t="shared" si="7"/>
        <v>2.3236239472755438E-2</v>
      </c>
      <c r="I123" s="91">
        <v>585.79999999999995</v>
      </c>
      <c r="J123" s="82">
        <f t="shared" si="8"/>
        <v>1.1762316335350968E-2</v>
      </c>
      <c r="K123" s="42"/>
      <c r="L123" s="86">
        <v>331.43</v>
      </c>
      <c r="M123" s="82">
        <f t="shared" si="9"/>
        <v>7.722946881936199E-3</v>
      </c>
      <c r="N123" s="42"/>
      <c r="O123" s="78">
        <v>2554.25</v>
      </c>
      <c r="P123" s="82">
        <f t="shared" si="10"/>
        <v>-2.8887631019069993E-3</v>
      </c>
      <c r="Q123" s="42"/>
      <c r="R123" s="78">
        <v>1478.9</v>
      </c>
      <c r="S123" s="82">
        <f t="shared" si="11"/>
        <v>-6.7830758898589361E-3</v>
      </c>
    </row>
    <row r="124" spans="2:19" ht="16.5">
      <c r="B124" s="85">
        <v>45263</v>
      </c>
      <c r="C124" s="80">
        <v>3232</v>
      </c>
      <c r="D124" s="82">
        <f t="shared" si="6"/>
        <v>1.8465998613474532E-2</v>
      </c>
      <c r="E124"/>
      <c r="F124" s="88">
        <v>20969.400000000001</v>
      </c>
      <c r="G124" s="79">
        <f t="shared" si="7"/>
        <v>3.4611380557433069E-2</v>
      </c>
      <c r="I124" s="91">
        <v>578.95000000000005</v>
      </c>
      <c r="J124" s="82">
        <f t="shared" si="8"/>
        <v>-1.2359611459555117E-2</v>
      </c>
      <c r="K124" s="42"/>
      <c r="L124" s="86">
        <v>328.89</v>
      </c>
      <c r="M124" s="82">
        <f t="shared" si="9"/>
        <v>3.2167963846347014E-2</v>
      </c>
      <c r="N124" s="42"/>
      <c r="O124" s="78">
        <v>2561.65</v>
      </c>
      <c r="P124" s="82">
        <f t="shared" si="10"/>
        <v>3.2278213213515761E-2</v>
      </c>
      <c r="Q124" s="42"/>
      <c r="R124" s="78">
        <v>1489</v>
      </c>
      <c r="S124" s="82">
        <f t="shared" si="11"/>
        <v>-5.8420964780504514E-3</v>
      </c>
    </row>
    <row r="125" spans="2:19" ht="16.5">
      <c r="B125" s="85">
        <v>45256</v>
      </c>
      <c r="C125" s="80">
        <v>3173.4</v>
      </c>
      <c r="D125" s="82">
        <f t="shared" si="6"/>
        <v>1.187762064952258E-2</v>
      </c>
      <c r="E125"/>
      <c r="F125" s="88">
        <v>20267.900000000001</v>
      </c>
      <c r="G125" s="79">
        <f t="shared" si="7"/>
        <v>2.3905388816198414E-2</v>
      </c>
      <c r="I125" s="91">
        <v>586.15</v>
      </c>
      <c r="J125" s="82">
        <f t="shared" si="8"/>
        <v>2.1730612790560679E-2</v>
      </c>
      <c r="K125" s="42"/>
      <c r="L125" s="86">
        <v>318.64</v>
      </c>
      <c r="M125" s="82">
        <f t="shared" si="9"/>
        <v>-9.0929043990850555E-4</v>
      </c>
      <c r="N125" s="42"/>
      <c r="O125" s="78">
        <v>2481.5500000000002</v>
      </c>
      <c r="P125" s="82">
        <f t="shared" si="10"/>
        <v>2.0189376350163712E-3</v>
      </c>
      <c r="Q125" s="42"/>
      <c r="R125" s="78">
        <v>1497.75</v>
      </c>
      <c r="S125" s="82">
        <f t="shared" si="11"/>
        <v>1.0286677908937669E-2</v>
      </c>
    </row>
    <row r="126" spans="2:19" ht="16.5">
      <c r="B126" s="85">
        <v>45249</v>
      </c>
      <c r="C126" s="80">
        <v>3136.15</v>
      </c>
      <c r="D126" s="82">
        <f t="shared" si="6"/>
        <v>-1.0334816497838406E-2</v>
      </c>
      <c r="E126"/>
      <c r="F126" s="88">
        <v>19794.7</v>
      </c>
      <c r="G126" s="79">
        <f t="shared" si="7"/>
        <v>3.1877476966115648E-3</v>
      </c>
      <c r="I126" s="91">
        <v>573.54999999999995</v>
      </c>
      <c r="J126" s="82">
        <f t="shared" si="8"/>
        <v>-2.4541637257540265E-2</v>
      </c>
      <c r="K126" s="42"/>
      <c r="L126" s="86">
        <v>318.93</v>
      </c>
      <c r="M126" s="82">
        <f t="shared" si="9"/>
        <v>-1.552660822323737E-2</v>
      </c>
      <c r="N126" s="42"/>
      <c r="O126" s="78">
        <v>2476.5500000000002</v>
      </c>
      <c r="P126" s="82">
        <f t="shared" si="10"/>
        <v>-1.8338640119300864E-3</v>
      </c>
      <c r="Q126" s="42"/>
      <c r="R126" s="78">
        <v>1482.5</v>
      </c>
      <c r="S126" s="82">
        <f t="shared" si="11"/>
        <v>-3.7118825707141312E-2</v>
      </c>
    </row>
    <row r="127" spans="2:19" ht="16.5">
      <c r="B127" s="85">
        <v>45242</v>
      </c>
      <c r="C127" s="80">
        <v>3168.9</v>
      </c>
      <c r="D127" s="82">
        <f t="shared" si="6"/>
        <v>3.005087032131204E-2</v>
      </c>
      <c r="E127"/>
      <c r="F127" s="88">
        <v>19731.8</v>
      </c>
      <c r="G127" s="79">
        <f t="shared" si="7"/>
        <v>1.5775777527818002E-2</v>
      </c>
      <c r="I127" s="91">
        <v>587.79999999999995</v>
      </c>
      <c r="J127" s="82">
        <f t="shared" si="8"/>
        <v>1.6121083140261991E-2</v>
      </c>
      <c r="K127" s="42"/>
      <c r="L127" s="86">
        <v>323.95999999999998</v>
      </c>
      <c r="M127" s="82">
        <f t="shared" si="9"/>
        <v>6.8998515096518664E-2</v>
      </c>
      <c r="N127" s="42"/>
      <c r="O127" s="78">
        <v>2481.1</v>
      </c>
      <c r="P127" s="82">
        <f t="shared" si="10"/>
        <v>1.1579076120194154E-2</v>
      </c>
      <c r="Q127" s="42"/>
      <c r="R127" s="78">
        <v>1539.65</v>
      </c>
      <c r="S127" s="82">
        <f t="shared" si="11"/>
        <v>2.4418643334775059E-2</v>
      </c>
    </row>
    <row r="128" spans="2:19" ht="16.5">
      <c r="B128" s="85">
        <v>45235</v>
      </c>
      <c r="C128" s="80">
        <v>3076.45</v>
      </c>
      <c r="D128" s="82">
        <f t="shared" si="6"/>
        <v>3.3111137229880683E-2</v>
      </c>
      <c r="E128"/>
      <c r="F128" s="88">
        <v>19425.349999999999</v>
      </c>
      <c r="G128" s="79">
        <f t="shared" si="7"/>
        <v>1.0127089118384225E-2</v>
      </c>
      <c r="I128" s="91">
        <v>578.4</v>
      </c>
      <c r="J128" s="82">
        <f t="shared" si="8"/>
        <v>4.4636458363634959E-2</v>
      </c>
      <c r="K128" s="42"/>
      <c r="L128" s="86">
        <v>303.05</v>
      </c>
      <c r="M128" s="82">
        <f t="shared" si="9"/>
        <v>-1.9759591635104545E-3</v>
      </c>
      <c r="N128" s="42"/>
      <c r="O128" s="78">
        <v>2452.6999999999998</v>
      </c>
      <c r="P128" s="82">
        <f t="shared" si="10"/>
        <v>4.1554932345293505E-3</v>
      </c>
      <c r="Q128" s="42"/>
      <c r="R128" s="78">
        <v>1502.95</v>
      </c>
      <c r="S128" s="82">
        <f t="shared" si="11"/>
        <v>2.653507274093303E-2</v>
      </c>
    </row>
    <row r="129" spans="2:19" ht="16.5">
      <c r="B129" s="85">
        <v>45228</v>
      </c>
      <c r="C129" s="80">
        <v>2977.85</v>
      </c>
      <c r="D129" s="82">
        <f t="shared" si="6"/>
        <v>7.681505168942282E-3</v>
      </c>
      <c r="E129"/>
      <c r="F129" s="88">
        <v>19230.599999999999</v>
      </c>
      <c r="G129" s="79">
        <f t="shared" si="7"/>
        <v>9.6260615049414966E-3</v>
      </c>
      <c r="I129" s="91">
        <v>553.15</v>
      </c>
      <c r="J129" s="82">
        <f t="shared" si="8"/>
        <v>2.8607433549682926E-2</v>
      </c>
      <c r="K129" s="42"/>
      <c r="L129" s="86">
        <v>303.64999999999998</v>
      </c>
      <c r="M129" s="82">
        <f t="shared" si="9"/>
        <v>-2.7292821219207619E-2</v>
      </c>
      <c r="N129" s="42"/>
      <c r="O129" s="78">
        <v>2442.5500000000002</v>
      </c>
      <c r="P129" s="82">
        <f t="shared" si="10"/>
        <v>8.7554463419168282E-3</v>
      </c>
      <c r="Q129" s="42"/>
      <c r="R129" s="78">
        <v>1464.1</v>
      </c>
      <c r="S129" s="82">
        <f t="shared" si="11"/>
        <v>3.7044907210653122E-2</v>
      </c>
    </row>
    <row r="130" spans="2:19" ht="16.5">
      <c r="B130" s="85">
        <v>45221</v>
      </c>
      <c r="C130" s="80">
        <v>2955.15</v>
      </c>
      <c r="D130" s="82">
        <f t="shared" si="6"/>
        <v>-4.8521338763945376E-2</v>
      </c>
      <c r="E130"/>
      <c r="F130" s="88">
        <v>19047.25</v>
      </c>
      <c r="G130" s="79">
        <f t="shared" si="7"/>
        <v>-2.5349683896503383E-2</v>
      </c>
      <c r="I130" s="91">
        <v>537.54999999999995</v>
      </c>
      <c r="J130" s="82">
        <f t="shared" si="8"/>
        <v>-8.3307194487730399E-2</v>
      </c>
      <c r="K130" s="42"/>
      <c r="L130" s="86">
        <v>312.17</v>
      </c>
      <c r="M130" s="82">
        <f t="shared" si="9"/>
        <v>-2.3950223556264194E-2</v>
      </c>
      <c r="N130" s="42"/>
      <c r="O130" s="78">
        <v>2421.35</v>
      </c>
      <c r="P130" s="82">
        <f t="shared" si="10"/>
        <v>-8.3952740749840826E-3</v>
      </c>
      <c r="Q130" s="42"/>
      <c r="R130" s="78">
        <v>1411.8</v>
      </c>
      <c r="S130" s="82">
        <f t="shared" si="11"/>
        <v>-3.208556149732622E-2</v>
      </c>
    </row>
    <row r="131" spans="2:19" ht="16.5">
      <c r="B131" s="85">
        <v>45214</v>
      </c>
      <c r="C131" s="80">
        <v>3105.85</v>
      </c>
      <c r="D131" s="82">
        <f t="shared" si="6"/>
        <v>-1.3640116869918839E-2</v>
      </c>
      <c r="E131"/>
      <c r="F131" s="88">
        <v>19542.650000000001</v>
      </c>
      <c r="G131" s="79">
        <f t="shared" si="7"/>
        <v>-1.0551337776978809E-2</v>
      </c>
      <c r="I131" s="91">
        <v>584.25</v>
      </c>
      <c r="J131" s="82">
        <f t="shared" si="8"/>
        <v>2.7767510686314771E-2</v>
      </c>
      <c r="K131" s="42"/>
      <c r="L131" s="86">
        <v>319.83</v>
      </c>
      <c r="M131" s="82">
        <f t="shared" si="9"/>
        <v>-5.1015646872182296E-3</v>
      </c>
      <c r="N131" s="42"/>
      <c r="O131" s="78">
        <v>2441.85</v>
      </c>
      <c r="P131" s="82">
        <f t="shared" si="10"/>
        <v>-1.6136830653934564E-2</v>
      </c>
      <c r="Q131" s="42"/>
      <c r="R131" s="78">
        <v>1458.6</v>
      </c>
      <c r="S131" s="82">
        <f t="shared" si="11"/>
        <v>2.1987082588976747E-3</v>
      </c>
    </row>
    <row r="132" spans="2:19" ht="16.5">
      <c r="B132" s="85">
        <v>45207</v>
      </c>
      <c r="C132" s="80">
        <v>3148.8</v>
      </c>
      <c r="D132" s="82">
        <f t="shared" si="6"/>
        <v>-1.4691386998357148E-2</v>
      </c>
      <c r="E132"/>
      <c r="F132" s="88">
        <v>19751.05</v>
      </c>
      <c r="G132" s="79">
        <f t="shared" si="7"/>
        <v>4.9634925076957881E-3</v>
      </c>
      <c r="I132" s="91">
        <v>568.25</v>
      </c>
      <c r="J132" s="82">
        <f t="shared" si="8"/>
        <v>5.1164543513983465E-3</v>
      </c>
      <c r="K132" s="42"/>
      <c r="L132" s="86">
        <v>321.47000000000003</v>
      </c>
      <c r="M132" s="82">
        <f t="shared" si="9"/>
        <v>-2.7918230604584426E-3</v>
      </c>
      <c r="N132" s="42"/>
      <c r="O132" s="78">
        <v>2481.9</v>
      </c>
      <c r="P132" s="82">
        <f t="shared" si="10"/>
        <v>-1.0347508822297957E-2</v>
      </c>
      <c r="Q132" s="42"/>
      <c r="R132" s="78">
        <v>1455.4</v>
      </c>
      <c r="S132" s="82">
        <f t="shared" si="11"/>
        <v>-3.3887616582030544E-2</v>
      </c>
    </row>
    <row r="133" spans="2:19" ht="16.5">
      <c r="B133" s="85">
        <v>45200</v>
      </c>
      <c r="C133" s="80">
        <v>3195.75</v>
      </c>
      <c r="D133" s="82">
        <f t="shared" si="6"/>
        <v>1.0977365116021431E-2</v>
      </c>
      <c r="E133"/>
      <c r="F133" s="88">
        <v>19653.5</v>
      </c>
      <c r="G133" s="79">
        <f t="shared" si="7"/>
        <v>7.7399774929598486E-4</v>
      </c>
      <c r="I133" s="91">
        <v>565.35</v>
      </c>
      <c r="J133" s="82">
        <f t="shared" si="8"/>
        <v>-6.1717706044714512E-3</v>
      </c>
      <c r="K133" s="42"/>
      <c r="L133" s="86">
        <v>322.37</v>
      </c>
      <c r="M133" s="82">
        <f t="shared" si="9"/>
        <v>1.9996835943679736E-2</v>
      </c>
      <c r="N133" s="42"/>
      <c r="O133" s="78">
        <v>2507.85</v>
      </c>
      <c r="P133" s="82">
        <f t="shared" si="10"/>
        <v>-2.9897153790958697E-4</v>
      </c>
      <c r="Q133" s="42"/>
      <c r="R133" s="78">
        <v>1506.45</v>
      </c>
      <c r="S133" s="82">
        <f t="shared" si="11"/>
        <v>1.3898236640193851E-2</v>
      </c>
    </row>
    <row r="134" spans="2:19" ht="16.5">
      <c r="B134" s="85">
        <v>45193</v>
      </c>
      <c r="C134" s="80">
        <v>3161.05</v>
      </c>
      <c r="D134" s="82">
        <f t="shared" si="6"/>
        <v>-3.4749683191596437E-2</v>
      </c>
      <c r="E134"/>
      <c r="F134" s="88">
        <v>19638.3</v>
      </c>
      <c r="G134" s="79">
        <f t="shared" si="7"/>
        <v>-1.8272615220402688E-3</v>
      </c>
      <c r="I134" s="91">
        <v>568.85</v>
      </c>
      <c r="J134" s="82">
        <f t="shared" si="8"/>
        <v>-0.16261561112087095</v>
      </c>
      <c r="K134" s="42"/>
      <c r="L134" s="86">
        <v>316.05</v>
      </c>
      <c r="M134" s="82">
        <f t="shared" si="9"/>
        <v>-1.5512568918792491E-2</v>
      </c>
      <c r="N134" s="42"/>
      <c r="O134" s="78">
        <v>2508.6</v>
      </c>
      <c r="P134" s="82">
        <f t="shared" si="10"/>
        <v>-4.5633109797230675E-3</v>
      </c>
      <c r="Q134" s="42"/>
      <c r="R134" s="78">
        <v>1485.8</v>
      </c>
      <c r="S134" s="82">
        <f t="shared" si="11"/>
        <v>-4.089339315108298E-2</v>
      </c>
    </row>
    <row r="135" spans="2:19" ht="16.5">
      <c r="B135" s="85">
        <v>45186</v>
      </c>
      <c r="C135" s="80">
        <v>3274.85</v>
      </c>
      <c r="D135" s="82">
        <f t="shared" si="6"/>
        <v>2.4463109818090745E-2</v>
      </c>
      <c r="E135"/>
      <c r="F135" s="88">
        <v>19674.25</v>
      </c>
      <c r="G135" s="79">
        <f t="shared" si="7"/>
        <v>-2.5658231954180599E-2</v>
      </c>
      <c r="I135" s="91">
        <v>669.3</v>
      </c>
      <c r="J135" s="82">
        <f t="shared" si="8"/>
        <v>0.10971948838679257</v>
      </c>
      <c r="K135" s="42"/>
      <c r="L135" s="86">
        <v>321.02999999999997</v>
      </c>
      <c r="M135" s="82">
        <f t="shared" si="9"/>
        <v>-1.2853233295409106E-2</v>
      </c>
      <c r="N135" s="42"/>
      <c r="O135" s="78">
        <v>2520.1</v>
      </c>
      <c r="P135" s="82">
        <f t="shared" si="10"/>
        <v>-2.8975455631333635E-2</v>
      </c>
      <c r="Q135" s="42"/>
      <c r="R135" s="78">
        <v>1549.15</v>
      </c>
      <c r="S135" s="82">
        <f t="shared" si="11"/>
        <v>9.1196300035827349E-3</v>
      </c>
    </row>
    <row r="136" spans="2:19" ht="16.5">
      <c r="B136" s="85">
        <v>45179</v>
      </c>
      <c r="C136" s="80">
        <v>3196.65</v>
      </c>
      <c r="D136" s="82">
        <f t="shared" ref="D136:D199" si="12">(C136/C137)-1</f>
        <v>-1.2785472738222059E-2</v>
      </c>
      <c r="E136"/>
      <c r="F136" s="88">
        <v>20192.349999999999</v>
      </c>
      <c r="G136" s="79">
        <f t="shared" ref="G136:G199" si="13">(F136/F137)-1</f>
        <v>1.8789149316723597E-2</v>
      </c>
      <c r="I136" s="91">
        <v>599.75</v>
      </c>
      <c r="J136" s="82">
        <f t="shared" ref="J136:J199" si="14">LN(I136/I137)</f>
        <v>3.8925180917560734E-3</v>
      </c>
      <c r="K136" s="42"/>
      <c r="L136" s="86">
        <v>325.20999999999998</v>
      </c>
      <c r="M136" s="82">
        <f t="shared" ref="M136:M199" si="15">(L136/L137)-1</f>
        <v>-3.1421253276149641E-2</v>
      </c>
      <c r="N136" s="42"/>
      <c r="O136" s="78">
        <v>2595.3000000000002</v>
      </c>
      <c r="P136" s="82">
        <f t="shared" ref="P136:P199" si="16">(O136/O137)-1</f>
        <v>-4.1422740955511461E-2</v>
      </c>
      <c r="Q136" s="42"/>
      <c r="R136" s="78">
        <v>1535.15</v>
      </c>
      <c r="S136" s="82">
        <f t="shared" ref="S136:S199" si="17">(R136/R137)-1</f>
        <v>-2.8877783400809598E-2</v>
      </c>
    </row>
    <row r="137" spans="2:19" ht="16.5">
      <c r="B137" s="85">
        <v>45172</v>
      </c>
      <c r="C137" s="80">
        <v>3238.05</v>
      </c>
      <c r="D137" s="82">
        <f t="shared" si="12"/>
        <v>-6.5960025156847069E-3</v>
      </c>
      <c r="E137"/>
      <c r="F137" s="88">
        <v>19819.95</v>
      </c>
      <c r="G137" s="79">
        <f t="shared" si="13"/>
        <v>1.9791307569216876E-2</v>
      </c>
      <c r="I137" s="91">
        <v>597.41999999999996</v>
      </c>
      <c r="J137" s="82">
        <f t="shared" si="14"/>
        <v>-4.1092515854314633E-3</v>
      </c>
      <c r="K137" s="42"/>
      <c r="L137" s="86">
        <v>335.76</v>
      </c>
      <c r="M137" s="82">
        <f t="shared" si="15"/>
        <v>-8.0945347119645294E-3</v>
      </c>
      <c r="N137" s="42"/>
      <c r="O137" s="78">
        <v>2707.45</v>
      </c>
      <c r="P137" s="82">
        <f t="shared" si="16"/>
        <v>-1.0633827264256213E-2</v>
      </c>
      <c r="Q137" s="42"/>
      <c r="R137" s="78">
        <v>1580.8</v>
      </c>
      <c r="S137" s="82">
        <f t="shared" si="17"/>
        <v>-1.5159171298636531E-3</v>
      </c>
    </row>
    <row r="138" spans="2:19" ht="16.5">
      <c r="B138" s="85">
        <v>45165</v>
      </c>
      <c r="C138" s="80">
        <v>3259.55</v>
      </c>
      <c r="D138" s="82">
        <f t="shared" si="12"/>
        <v>7.6703586659787604E-5</v>
      </c>
      <c r="E138"/>
      <c r="F138" s="88">
        <v>19435.3</v>
      </c>
      <c r="G138" s="79">
        <f t="shared" si="13"/>
        <v>8.7979736112697715E-3</v>
      </c>
      <c r="I138" s="91">
        <v>599.88</v>
      </c>
      <c r="J138" s="82">
        <f t="shared" si="14"/>
        <v>2.1772960807740452E-2</v>
      </c>
      <c r="K138" s="42"/>
      <c r="L138" s="86">
        <v>338.5</v>
      </c>
      <c r="M138" s="82">
        <f t="shared" si="15"/>
        <v>5.5240351642870555E-2</v>
      </c>
      <c r="N138" s="42"/>
      <c r="O138" s="78">
        <v>2736.55</v>
      </c>
      <c r="P138" s="82">
        <f t="shared" si="16"/>
        <v>-1.0164035230499358E-2</v>
      </c>
      <c r="Q138" s="42"/>
      <c r="R138" s="78">
        <v>1583.2</v>
      </c>
      <c r="S138" s="82">
        <f t="shared" si="17"/>
        <v>4.4637260400514744E-2</v>
      </c>
    </row>
    <row r="139" spans="2:19" ht="16.5">
      <c r="B139" s="85">
        <v>45158</v>
      </c>
      <c r="C139" s="80">
        <v>3259.3</v>
      </c>
      <c r="D139" s="82">
        <f t="shared" si="12"/>
        <v>3.0266630841933928E-2</v>
      </c>
      <c r="E139"/>
      <c r="F139" s="88">
        <v>19265.8</v>
      </c>
      <c r="G139" s="79">
        <f t="shared" si="13"/>
        <v>-2.2967196008317758E-3</v>
      </c>
      <c r="I139" s="91">
        <v>586.96</v>
      </c>
      <c r="J139" s="82">
        <f t="shared" si="14"/>
        <v>-1.2769545521947778E-3</v>
      </c>
      <c r="K139" s="42"/>
      <c r="L139" s="86">
        <v>320.77999999999997</v>
      </c>
      <c r="M139" s="82">
        <f t="shared" si="15"/>
        <v>-1.7970304607377918E-2</v>
      </c>
      <c r="N139" s="42"/>
      <c r="O139" s="78">
        <v>2764.65</v>
      </c>
      <c r="P139" s="82">
        <f t="shared" si="16"/>
        <v>-2.1934091592521132E-2</v>
      </c>
      <c r="Q139" s="42"/>
      <c r="R139" s="78">
        <v>1515.55</v>
      </c>
      <c r="S139" s="82">
        <f t="shared" si="17"/>
        <v>1.168185307566505E-2</v>
      </c>
    </row>
    <row r="140" spans="2:19" ht="16.5">
      <c r="B140" s="85">
        <v>45151</v>
      </c>
      <c r="C140" s="80">
        <v>3163.55</v>
      </c>
      <c r="D140" s="82">
        <f t="shared" si="12"/>
        <v>-6.8438319179995322E-3</v>
      </c>
      <c r="E140"/>
      <c r="F140" s="88">
        <v>19310.150000000001</v>
      </c>
      <c r="G140" s="79">
        <f t="shared" si="13"/>
        <v>-6.0813349598265454E-3</v>
      </c>
      <c r="I140" s="91">
        <v>587.71</v>
      </c>
      <c r="J140" s="82">
        <f t="shared" si="14"/>
        <v>6.469641814556895E-3</v>
      </c>
      <c r="K140" s="42"/>
      <c r="L140" s="86">
        <v>326.64999999999998</v>
      </c>
      <c r="M140" s="82">
        <f t="shared" si="15"/>
        <v>-2.747672111128141E-3</v>
      </c>
      <c r="N140" s="42"/>
      <c r="O140" s="78">
        <v>2826.65</v>
      </c>
      <c r="P140" s="82">
        <f t="shared" si="16"/>
        <v>2.6959436689664162E-3</v>
      </c>
      <c r="Q140" s="42"/>
      <c r="R140" s="78">
        <v>1498.05</v>
      </c>
      <c r="S140" s="82">
        <f t="shared" si="17"/>
        <v>-3.0294203320710755E-2</v>
      </c>
    </row>
    <row r="141" spans="2:19" ht="16.5">
      <c r="B141" s="85">
        <v>45144</v>
      </c>
      <c r="C141" s="80">
        <v>3185.35</v>
      </c>
      <c r="D141" s="82">
        <f t="shared" si="12"/>
        <v>-4.620244636414006E-2</v>
      </c>
      <c r="E141"/>
      <c r="F141" s="88">
        <v>19428.3</v>
      </c>
      <c r="G141" s="79">
        <f t="shared" si="13"/>
        <v>-4.5447558538710409E-3</v>
      </c>
      <c r="I141" s="91">
        <v>583.91999999999996</v>
      </c>
      <c r="J141" s="82">
        <f t="shared" si="14"/>
        <v>-5.6185199846727433E-3</v>
      </c>
      <c r="K141" s="42"/>
      <c r="L141" s="86">
        <v>327.55</v>
      </c>
      <c r="M141" s="82">
        <f t="shared" si="15"/>
        <v>5.834484876401147E-3</v>
      </c>
      <c r="N141" s="42"/>
      <c r="O141" s="78">
        <v>2819.05</v>
      </c>
      <c r="P141" s="82">
        <f t="shared" si="16"/>
        <v>-1.3284681876151172E-3</v>
      </c>
      <c r="Q141" s="42"/>
      <c r="R141" s="78">
        <v>1544.85</v>
      </c>
      <c r="S141" s="82">
        <f t="shared" si="17"/>
        <v>-2.4315533520699817E-2</v>
      </c>
    </row>
    <row r="142" spans="2:19" ht="16.5">
      <c r="B142" s="85">
        <v>45137</v>
      </c>
      <c r="C142" s="80">
        <v>3339.65</v>
      </c>
      <c r="D142" s="82">
        <f t="shared" si="12"/>
        <v>-1.5055888164685727E-2</v>
      </c>
      <c r="E142"/>
      <c r="F142" s="88">
        <v>19517</v>
      </c>
      <c r="G142" s="79">
        <f t="shared" si="13"/>
        <v>-6.568750461288575E-3</v>
      </c>
      <c r="I142" s="91">
        <v>587.21</v>
      </c>
      <c r="J142" s="82">
        <f t="shared" si="14"/>
        <v>3.6117276106441637E-2</v>
      </c>
      <c r="K142" s="42"/>
      <c r="L142" s="86">
        <v>325.64999999999998</v>
      </c>
      <c r="M142" s="82">
        <f t="shared" si="15"/>
        <v>-1.5330369461904469E-3</v>
      </c>
      <c r="N142" s="42"/>
      <c r="O142" s="78">
        <v>2822.8</v>
      </c>
      <c r="P142" s="82">
        <f t="shared" si="16"/>
        <v>3.8042179197234738E-2</v>
      </c>
      <c r="Q142" s="42"/>
      <c r="R142" s="78">
        <v>1583.35</v>
      </c>
      <c r="S142" s="82">
        <f t="shared" si="17"/>
        <v>5.2696739786037838E-3</v>
      </c>
    </row>
    <row r="143" spans="2:19" ht="16.5">
      <c r="B143" s="85">
        <v>45130</v>
      </c>
      <c r="C143" s="80">
        <v>3390.7</v>
      </c>
      <c r="D143" s="82">
        <f t="shared" si="12"/>
        <v>-3.6103135571538214E-2</v>
      </c>
      <c r="E143"/>
      <c r="F143" s="88">
        <v>19646.05</v>
      </c>
      <c r="G143" s="79">
        <f t="shared" si="13"/>
        <v>-5.0113952899468739E-3</v>
      </c>
      <c r="I143" s="91">
        <v>566.38</v>
      </c>
      <c r="J143" s="82">
        <f t="shared" si="14"/>
        <v>-1.6772982818461769E-2</v>
      </c>
      <c r="K143" s="42"/>
      <c r="L143" s="86">
        <v>326.14999999999998</v>
      </c>
      <c r="M143" s="82">
        <f t="shared" si="15"/>
        <v>1.4873821451908853E-2</v>
      </c>
      <c r="N143" s="42"/>
      <c r="O143" s="78">
        <v>2719.35</v>
      </c>
      <c r="P143" s="82">
        <f t="shared" si="16"/>
        <v>1.3831671171590898E-2</v>
      </c>
      <c r="Q143" s="42"/>
      <c r="R143" s="78">
        <v>1575.05</v>
      </c>
      <c r="S143" s="82">
        <f t="shared" si="17"/>
        <v>5.010334022268137E-2</v>
      </c>
    </row>
    <row r="144" spans="2:19" ht="16.5">
      <c r="B144" s="85">
        <v>45123</v>
      </c>
      <c r="C144" s="80">
        <v>3517.7</v>
      </c>
      <c r="D144" s="82">
        <f t="shared" si="12"/>
        <v>2.564326845980025E-2</v>
      </c>
      <c r="E144"/>
      <c r="F144" s="88">
        <v>19745</v>
      </c>
      <c r="G144" s="79">
        <f t="shared" si="13"/>
        <v>9.225893838329613E-3</v>
      </c>
      <c r="I144" s="91">
        <v>575.96</v>
      </c>
      <c r="J144" s="82">
        <f t="shared" si="14"/>
        <v>3.3921907702592728E-2</v>
      </c>
      <c r="K144" s="42"/>
      <c r="L144" s="86">
        <v>321.37</v>
      </c>
      <c r="M144" s="82">
        <f t="shared" si="15"/>
        <v>4.8378678149670451E-2</v>
      </c>
      <c r="N144" s="42"/>
      <c r="O144" s="78">
        <v>2682.25</v>
      </c>
      <c r="P144" s="82">
        <f t="shared" si="16"/>
        <v>-2.1737148275799201E-2</v>
      </c>
      <c r="Q144" s="42"/>
      <c r="R144" s="78">
        <v>1499.9</v>
      </c>
      <c r="S144" s="82">
        <f t="shared" si="17"/>
        <v>5.2044609665427455E-2</v>
      </c>
    </row>
    <row r="145" spans="2:19" ht="16.5">
      <c r="B145" s="85">
        <v>45116</v>
      </c>
      <c r="C145" s="80">
        <v>3429.75</v>
      </c>
      <c r="D145" s="82">
        <f t="shared" si="12"/>
        <v>2.5734964261147963E-2</v>
      </c>
      <c r="E145"/>
      <c r="F145" s="88">
        <v>19564.5</v>
      </c>
      <c r="G145" s="79">
        <f t="shared" si="13"/>
        <v>1.2037161567986399E-2</v>
      </c>
      <c r="I145" s="91">
        <v>556.75</v>
      </c>
      <c r="J145" s="82">
        <f t="shared" si="14"/>
        <v>-7.0875316824064033E-3</v>
      </c>
      <c r="K145" s="42"/>
      <c r="L145" s="86">
        <v>306.54000000000002</v>
      </c>
      <c r="M145" s="82">
        <f t="shared" si="15"/>
        <v>-1.8789411350468965E-2</v>
      </c>
      <c r="N145" s="42"/>
      <c r="O145" s="78">
        <v>2741.85</v>
      </c>
      <c r="P145" s="82">
        <f t="shared" si="16"/>
        <v>8.9657228017883783E-2</v>
      </c>
      <c r="Q145" s="42"/>
      <c r="R145" s="78">
        <v>1425.7</v>
      </c>
      <c r="S145" s="82">
        <f t="shared" si="17"/>
        <v>-1.5706444820325127E-2</v>
      </c>
    </row>
    <row r="146" spans="2:19" ht="16.5">
      <c r="B146" s="85">
        <v>45109</v>
      </c>
      <c r="C146" s="80">
        <v>3343.7</v>
      </c>
      <c r="D146" s="82">
        <f t="shared" si="12"/>
        <v>-5.4579795065511361E-3</v>
      </c>
      <c r="E146"/>
      <c r="F146" s="88">
        <v>19331.8</v>
      </c>
      <c r="G146" s="79">
        <f t="shared" si="13"/>
        <v>7.4391384669902916E-3</v>
      </c>
      <c r="I146" s="91">
        <v>560.71</v>
      </c>
      <c r="J146" s="82">
        <f t="shared" si="14"/>
        <v>-7.7634762235801649E-3</v>
      </c>
      <c r="K146" s="42"/>
      <c r="L146" s="86">
        <v>312.41000000000003</v>
      </c>
      <c r="M146" s="82">
        <f t="shared" si="15"/>
        <v>4.4954343245141581E-2</v>
      </c>
      <c r="N146" s="42"/>
      <c r="O146" s="78">
        <v>2516.25</v>
      </c>
      <c r="P146" s="82">
        <f t="shared" si="16"/>
        <v>3.4280781799124416E-2</v>
      </c>
      <c r="Q146" s="42"/>
      <c r="R146" s="78">
        <v>1448.45</v>
      </c>
      <c r="S146" s="82">
        <f t="shared" si="17"/>
        <v>1.3681853173769909E-2</v>
      </c>
    </row>
    <row r="147" spans="2:19" ht="16.5">
      <c r="B147" s="85">
        <v>45102</v>
      </c>
      <c r="C147" s="80">
        <v>3362.05</v>
      </c>
      <c r="D147" s="82">
        <f t="shared" si="12"/>
        <v>1.9513600388149532E-2</v>
      </c>
      <c r="E147"/>
      <c r="F147" s="88">
        <v>19189.05</v>
      </c>
      <c r="G147" s="79">
        <f t="shared" si="13"/>
        <v>2.8049074495727355E-2</v>
      </c>
      <c r="I147" s="91">
        <v>565.08000000000004</v>
      </c>
      <c r="J147" s="82">
        <f t="shared" si="14"/>
        <v>3.616640470188736E-3</v>
      </c>
      <c r="K147" s="42"/>
      <c r="L147" s="86">
        <v>298.97000000000003</v>
      </c>
      <c r="M147" s="82">
        <f t="shared" si="15"/>
        <v>-1.7354149548068909E-2</v>
      </c>
      <c r="N147" s="42"/>
      <c r="O147" s="78">
        <v>2432.85</v>
      </c>
      <c r="P147" s="82">
        <f t="shared" si="16"/>
        <v>-7.9313297720507991E-3</v>
      </c>
      <c r="Q147" s="42"/>
      <c r="R147" s="78">
        <v>1428.9</v>
      </c>
      <c r="S147" s="82">
        <f t="shared" si="17"/>
        <v>5.4179566563468118E-3</v>
      </c>
    </row>
    <row r="148" spans="2:19" ht="16.5">
      <c r="B148" s="85">
        <v>45095</v>
      </c>
      <c r="C148" s="80">
        <v>3297.7</v>
      </c>
      <c r="D148" s="82">
        <f t="shared" si="12"/>
        <v>-5.7735502057675303E-3</v>
      </c>
      <c r="E148"/>
      <c r="F148" s="88">
        <v>18665.5</v>
      </c>
      <c r="G148" s="79">
        <f t="shared" si="13"/>
        <v>-8.5254435355359703E-3</v>
      </c>
      <c r="I148" s="91">
        <v>563.04</v>
      </c>
      <c r="J148" s="82">
        <f t="shared" si="14"/>
        <v>3.1129675686097039E-3</v>
      </c>
      <c r="K148" s="42"/>
      <c r="L148" s="86">
        <v>304.25</v>
      </c>
      <c r="M148" s="82">
        <f t="shared" si="15"/>
        <v>1.2479201331114798E-2</v>
      </c>
      <c r="N148" s="42"/>
      <c r="O148" s="78">
        <v>2452.3000000000002</v>
      </c>
      <c r="P148" s="82">
        <f t="shared" si="16"/>
        <v>-6.1163326469326762E-5</v>
      </c>
      <c r="Q148" s="42"/>
      <c r="R148" s="78">
        <v>1421.2</v>
      </c>
      <c r="S148" s="82">
        <f t="shared" si="17"/>
        <v>2.2213603187475339E-3</v>
      </c>
    </row>
    <row r="149" spans="2:19" ht="16.5">
      <c r="B149" s="85">
        <v>45088</v>
      </c>
      <c r="C149" s="80">
        <v>3316.85</v>
      </c>
      <c r="D149" s="82">
        <f t="shared" si="12"/>
        <v>4.2854223326154184E-2</v>
      </c>
      <c r="E149"/>
      <c r="F149" s="88">
        <v>18826</v>
      </c>
      <c r="G149" s="79">
        <f t="shared" si="13"/>
        <v>1.4146115474535925E-2</v>
      </c>
      <c r="I149" s="91">
        <v>561.29</v>
      </c>
      <c r="J149" s="82">
        <f t="shared" si="14"/>
        <v>3.9131636609748582E-2</v>
      </c>
      <c r="K149" s="42"/>
      <c r="L149" s="86">
        <v>300.5</v>
      </c>
      <c r="M149" s="82">
        <f t="shared" si="15"/>
        <v>4.416414746864028E-2</v>
      </c>
      <c r="N149" s="42"/>
      <c r="O149" s="78">
        <v>2452.4499999999998</v>
      </c>
      <c r="P149" s="82">
        <f t="shared" si="16"/>
        <v>4.0673003479589243E-2</v>
      </c>
      <c r="Q149" s="42"/>
      <c r="R149" s="78">
        <v>1418.05</v>
      </c>
      <c r="S149" s="82">
        <f t="shared" si="17"/>
        <v>7.4100211714878128E-4</v>
      </c>
    </row>
    <row r="150" spans="2:19" ht="16.5">
      <c r="B150" s="85">
        <v>45081</v>
      </c>
      <c r="C150" s="80">
        <v>3180.55</v>
      </c>
      <c r="D150" s="82">
        <f t="shared" si="12"/>
        <v>-1.7514866012819486E-2</v>
      </c>
      <c r="E150"/>
      <c r="F150" s="88">
        <v>18563.400000000001</v>
      </c>
      <c r="G150" s="79">
        <f t="shared" si="13"/>
        <v>1.5808698561032841E-3</v>
      </c>
      <c r="I150" s="91">
        <v>539.75</v>
      </c>
      <c r="J150" s="82">
        <f t="shared" si="14"/>
        <v>-7.30994708368008E-3</v>
      </c>
      <c r="K150" s="42"/>
      <c r="L150" s="86">
        <v>287.79000000000002</v>
      </c>
      <c r="M150" s="82">
        <f t="shared" si="15"/>
        <v>1.7608995438633812E-2</v>
      </c>
      <c r="N150" s="42"/>
      <c r="O150" s="78">
        <v>2356.6</v>
      </c>
      <c r="P150" s="82">
        <f t="shared" si="16"/>
        <v>-3.9337980514451143E-2</v>
      </c>
      <c r="Q150" s="42"/>
      <c r="R150" s="78">
        <v>1417</v>
      </c>
      <c r="S150" s="82">
        <f t="shared" si="17"/>
        <v>-2.9751104111746418E-2</v>
      </c>
    </row>
    <row r="151" spans="2:19" ht="16.5">
      <c r="B151" s="85">
        <v>45074</v>
      </c>
      <c r="C151" s="80">
        <v>3237.25</v>
      </c>
      <c r="D151" s="82">
        <f t="shared" si="12"/>
        <v>3.4794143971359048E-2</v>
      </c>
      <c r="E151"/>
      <c r="F151" s="88">
        <v>18534.099999999999</v>
      </c>
      <c r="G151" s="79">
        <f t="shared" si="13"/>
        <v>1.8784443777755122E-3</v>
      </c>
      <c r="I151" s="91">
        <v>543.71</v>
      </c>
      <c r="J151" s="82">
        <f t="shared" si="14"/>
        <v>8.236731209331041E-3</v>
      </c>
      <c r="K151" s="42"/>
      <c r="L151" s="86">
        <v>282.81</v>
      </c>
      <c r="M151" s="82">
        <f t="shared" si="15"/>
        <v>3.8482723166746391E-2</v>
      </c>
      <c r="N151" s="42"/>
      <c r="O151" s="78">
        <v>2453.1</v>
      </c>
      <c r="P151" s="82">
        <f t="shared" si="16"/>
        <v>-1.8406626385498726E-2</v>
      </c>
      <c r="Q151" s="42"/>
      <c r="R151" s="78">
        <v>1460.45</v>
      </c>
      <c r="S151" s="82">
        <f t="shared" si="17"/>
        <v>-3.1146344699482631E-2</v>
      </c>
    </row>
    <row r="152" spans="2:19" ht="16.5">
      <c r="B152" s="85">
        <v>45067</v>
      </c>
      <c r="C152" s="80">
        <v>3128.4</v>
      </c>
      <c r="D152" s="82">
        <f t="shared" si="12"/>
        <v>1.4248893643923566E-2</v>
      </c>
      <c r="E152"/>
      <c r="F152" s="88">
        <v>18499.349999999999</v>
      </c>
      <c r="G152" s="79">
        <f t="shared" si="13"/>
        <v>1.6257951811200044E-2</v>
      </c>
      <c r="I152" s="91">
        <v>539.25</v>
      </c>
      <c r="J152" s="82">
        <f t="shared" si="14"/>
        <v>3.4352471031119651E-2</v>
      </c>
      <c r="K152" s="42"/>
      <c r="L152" s="86">
        <v>272.33</v>
      </c>
      <c r="M152" s="82">
        <f t="shared" si="15"/>
        <v>4.6853095255663391E-3</v>
      </c>
      <c r="N152" s="42"/>
      <c r="O152" s="78">
        <v>2499.1</v>
      </c>
      <c r="P152" s="82">
        <f t="shared" si="16"/>
        <v>2.6746096959737065E-2</v>
      </c>
      <c r="Q152" s="42"/>
      <c r="R152" s="78">
        <v>1507.4</v>
      </c>
      <c r="S152" s="82">
        <f t="shared" si="17"/>
        <v>7.3914437359740681E-2</v>
      </c>
    </row>
    <row r="153" spans="2:19" ht="16.5">
      <c r="B153" s="85">
        <v>45060</v>
      </c>
      <c r="C153" s="80">
        <v>3084.45</v>
      </c>
      <c r="D153" s="82">
        <f t="shared" si="12"/>
        <v>-1.4898917313404314E-2</v>
      </c>
      <c r="E153"/>
      <c r="F153" s="88">
        <v>18203.400000000001</v>
      </c>
      <c r="G153" s="79">
        <f t="shared" si="13"/>
        <v>-6.0825125035489647E-3</v>
      </c>
      <c r="I153" s="91">
        <v>521.04</v>
      </c>
      <c r="J153" s="82">
        <f t="shared" si="14"/>
        <v>-1.3345224174412754E-2</v>
      </c>
      <c r="K153" s="42"/>
      <c r="L153" s="86">
        <v>271.06</v>
      </c>
      <c r="M153" s="82">
        <f t="shared" si="15"/>
        <v>-2.3805236431735599E-2</v>
      </c>
      <c r="N153" s="42"/>
      <c r="O153" s="78">
        <v>2434</v>
      </c>
      <c r="P153" s="82">
        <f t="shared" si="16"/>
        <v>-1.4754396972211481E-2</v>
      </c>
      <c r="Q153" s="42"/>
      <c r="R153" s="78">
        <v>1403.65</v>
      </c>
      <c r="S153" s="82">
        <f t="shared" si="17"/>
        <v>7.88593828061952E-2</v>
      </c>
    </row>
    <row r="154" spans="2:19" ht="16.5">
      <c r="B154" s="85">
        <v>45053</v>
      </c>
      <c r="C154" s="80">
        <v>3131.1</v>
      </c>
      <c r="D154" s="82">
        <f t="shared" si="12"/>
        <v>3.921405931064248E-2</v>
      </c>
      <c r="E154"/>
      <c r="F154" s="88">
        <v>18314.8</v>
      </c>
      <c r="G154" s="79">
        <f t="shared" si="13"/>
        <v>1.3603409153799317E-2</v>
      </c>
      <c r="I154" s="91">
        <v>528.04</v>
      </c>
      <c r="J154" s="82">
        <f t="shared" si="14"/>
        <v>2.6209746493839142E-2</v>
      </c>
      <c r="K154" s="42"/>
      <c r="L154" s="86">
        <v>277.67</v>
      </c>
      <c r="M154" s="82">
        <f t="shared" si="15"/>
        <v>6.1389090631092103E-2</v>
      </c>
      <c r="N154" s="42"/>
      <c r="O154" s="78">
        <v>2470.4499999999998</v>
      </c>
      <c r="P154" s="82">
        <f t="shared" si="16"/>
        <v>2.5700110024703404E-2</v>
      </c>
      <c r="Q154" s="42"/>
      <c r="R154" s="78">
        <v>1301.05</v>
      </c>
      <c r="S154" s="82">
        <f t="shared" si="17"/>
        <v>7.5692434890450633E-2</v>
      </c>
    </row>
    <row r="155" spans="2:19" ht="16.5">
      <c r="B155" s="85">
        <v>45046</v>
      </c>
      <c r="C155" s="80">
        <v>3012.95</v>
      </c>
      <c r="D155" s="82">
        <f t="shared" si="12"/>
        <v>3.8107051182662222E-2</v>
      </c>
      <c r="E155"/>
      <c r="F155" s="88">
        <v>18069</v>
      </c>
      <c r="G155" s="79">
        <f t="shared" si="13"/>
        <v>2.2142264046509652E-4</v>
      </c>
      <c r="I155" s="91">
        <v>514.38</v>
      </c>
      <c r="J155" s="82">
        <f t="shared" si="14"/>
        <v>1.1241455220017941E-2</v>
      </c>
      <c r="K155" s="42"/>
      <c r="L155" s="86">
        <v>261.61</v>
      </c>
      <c r="M155" s="82">
        <f t="shared" si="15"/>
        <v>3.6859418968729019E-2</v>
      </c>
      <c r="N155" s="42"/>
      <c r="O155" s="78">
        <v>2408.5500000000002</v>
      </c>
      <c r="P155" s="82">
        <f t="shared" si="16"/>
        <v>3.6069170215511814E-2</v>
      </c>
      <c r="Q155" s="42"/>
      <c r="R155" s="78">
        <v>1209.5</v>
      </c>
      <c r="S155" s="82">
        <f t="shared" si="17"/>
        <v>4.8502448961900368E-2</v>
      </c>
    </row>
    <row r="156" spans="2:19" ht="16.5">
      <c r="B156" s="85">
        <v>45039</v>
      </c>
      <c r="C156" s="80">
        <v>2902.35</v>
      </c>
      <c r="D156" s="82">
        <f t="shared" si="12"/>
        <v>7.0261267825544316E-3</v>
      </c>
      <c r="E156"/>
      <c r="F156" s="88">
        <v>18065</v>
      </c>
      <c r="G156" s="79">
        <f t="shared" si="13"/>
        <v>2.5019788300645995E-2</v>
      </c>
      <c r="I156" s="91">
        <v>508.63</v>
      </c>
      <c r="J156" s="82">
        <f t="shared" si="14"/>
        <v>4.3107698553595586E-2</v>
      </c>
      <c r="K156" s="42"/>
      <c r="L156" s="86">
        <v>252.31</v>
      </c>
      <c r="M156" s="82">
        <f t="shared" si="15"/>
        <v>-5.518111229356415E-3</v>
      </c>
      <c r="N156" s="42"/>
      <c r="O156" s="78">
        <v>2324.6999999999998</v>
      </c>
      <c r="P156" s="82">
        <f t="shared" si="16"/>
        <v>9.203386151508397E-3</v>
      </c>
      <c r="Q156" s="42"/>
      <c r="R156" s="78">
        <v>1153.55</v>
      </c>
      <c r="S156" s="82">
        <f t="shared" si="17"/>
        <v>5.8420892008546055E-3</v>
      </c>
    </row>
    <row r="157" spans="2:19" ht="16.5">
      <c r="B157" s="85">
        <v>45032</v>
      </c>
      <c r="C157" s="80">
        <v>2882.1</v>
      </c>
      <c r="D157" s="82">
        <f t="shared" si="12"/>
        <v>2.5749621852477977E-2</v>
      </c>
      <c r="E157"/>
      <c r="F157" s="88">
        <v>17624.05</v>
      </c>
      <c r="G157" s="79">
        <f t="shared" si="13"/>
        <v>-1.143986986762402E-2</v>
      </c>
      <c r="I157" s="91">
        <v>487.17</v>
      </c>
      <c r="J157" s="82">
        <f t="shared" si="14"/>
        <v>1.0316389182069795E-2</v>
      </c>
      <c r="K157" s="42"/>
      <c r="L157" s="86">
        <v>253.71</v>
      </c>
      <c r="M157" s="82">
        <f t="shared" si="15"/>
        <v>2.7666890636734998E-3</v>
      </c>
      <c r="N157" s="42"/>
      <c r="O157" s="78">
        <v>2303.5</v>
      </c>
      <c r="P157" s="82">
        <f t="shared" si="16"/>
        <v>-1.5191961282201571E-4</v>
      </c>
      <c r="Q157" s="42"/>
      <c r="R157" s="78">
        <v>1146.8499999999999</v>
      </c>
      <c r="S157" s="82">
        <f t="shared" si="17"/>
        <v>5.9298942409827582E-2</v>
      </c>
    </row>
    <row r="158" spans="2:19" ht="16.5">
      <c r="B158" s="85">
        <v>45025</v>
      </c>
      <c r="C158" s="80">
        <v>2809.75</v>
      </c>
      <c r="D158" s="82">
        <f t="shared" si="12"/>
        <v>-3.5589088385523659E-5</v>
      </c>
      <c r="E158"/>
      <c r="F158" s="88">
        <v>17828</v>
      </c>
      <c r="G158" s="79">
        <f t="shared" si="13"/>
        <v>1.3003468917532901E-2</v>
      </c>
      <c r="I158" s="91">
        <v>482.17</v>
      </c>
      <c r="J158" s="82">
        <f t="shared" si="14"/>
        <v>-3.1640457809257165E-2</v>
      </c>
      <c r="K158" s="42"/>
      <c r="L158" s="86">
        <v>253.01</v>
      </c>
      <c r="M158" s="82">
        <f t="shared" si="15"/>
        <v>-2.7296143939102735E-2</v>
      </c>
      <c r="N158" s="42"/>
      <c r="O158" s="78">
        <v>2303.85</v>
      </c>
      <c r="P158" s="82">
        <f t="shared" si="16"/>
        <v>3.2445271012122134E-2</v>
      </c>
      <c r="Q158" s="42"/>
      <c r="R158" s="78">
        <v>1082.6500000000001</v>
      </c>
      <c r="S158" s="82">
        <f t="shared" si="17"/>
        <v>-3.7727168161949542E-3</v>
      </c>
    </row>
    <row r="159" spans="2:19" ht="16.5">
      <c r="B159" s="85">
        <v>45018</v>
      </c>
      <c r="C159" s="80">
        <v>2809.85</v>
      </c>
      <c r="D159" s="82">
        <f t="shared" si="12"/>
        <v>1.7453334057538017E-2</v>
      </c>
      <c r="E159"/>
      <c r="F159" s="88">
        <v>17599.150000000001</v>
      </c>
      <c r="G159" s="79">
        <f t="shared" si="13"/>
        <v>1.3790521176860304E-2</v>
      </c>
      <c r="I159" s="91">
        <v>497.67</v>
      </c>
      <c r="J159" s="82">
        <f t="shared" si="14"/>
        <v>2.6303912649532111E-2</v>
      </c>
      <c r="K159" s="42"/>
      <c r="L159" s="86">
        <v>260.11</v>
      </c>
      <c r="M159" s="82">
        <f t="shared" si="15"/>
        <v>1.3165582518599228E-2</v>
      </c>
      <c r="N159" s="42"/>
      <c r="O159" s="78">
        <v>2231.4499999999998</v>
      </c>
      <c r="P159" s="82">
        <f t="shared" si="16"/>
        <v>-3.0036295668427249E-2</v>
      </c>
      <c r="Q159" s="42"/>
      <c r="R159" s="78">
        <v>1086.75</v>
      </c>
      <c r="S159" s="82">
        <f t="shared" si="17"/>
        <v>7.7750780978826706E-2</v>
      </c>
    </row>
    <row r="160" spans="2:19" ht="16.5">
      <c r="B160" s="85">
        <v>45011</v>
      </c>
      <c r="C160" s="80">
        <v>2761.65</v>
      </c>
      <c r="D160" s="82">
        <f t="shared" si="12"/>
        <v>-1.3167768447382544E-2</v>
      </c>
      <c r="E160"/>
      <c r="F160" s="88">
        <v>17359.75</v>
      </c>
      <c r="G160" s="79">
        <f t="shared" si="13"/>
        <v>2.4473223743807226E-2</v>
      </c>
      <c r="I160" s="91">
        <v>484.75</v>
      </c>
      <c r="J160" s="82">
        <f t="shared" si="14"/>
        <v>1.385521161836337E-2</v>
      </c>
      <c r="K160" s="42"/>
      <c r="L160" s="86">
        <v>256.73</v>
      </c>
      <c r="M160" s="82">
        <f t="shared" si="15"/>
        <v>6.271312664132056E-3</v>
      </c>
      <c r="N160" s="42"/>
      <c r="O160" s="78">
        <v>2300.5500000000002</v>
      </c>
      <c r="P160" s="82">
        <f t="shared" si="16"/>
        <v>-2.2041319503485757E-2</v>
      </c>
      <c r="Q160" s="42"/>
      <c r="R160" s="78">
        <v>1008.35</v>
      </c>
      <c r="S160" s="82">
        <f t="shared" si="17"/>
        <v>-8.4079063821417277E-3</v>
      </c>
    </row>
    <row r="161" spans="2:19" ht="16.5">
      <c r="B161" s="85">
        <v>45004</v>
      </c>
      <c r="C161" s="80">
        <v>2798.5</v>
      </c>
      <c r="D161" s="82">
        <f t="shared" si="12"/>
        <v>-2.2409306062564416E-2</v>
      </c>
      <c r="E161"/>
      <c r="F161" s="88">
        <v>16945.05</v>
      </c>
      <c r="G161" s="79">
        <f t="shared" si="13"/>
        <v>-9.0643009815760678E-3</v>
      </c>
      <c r="I161" s="91">
        <v>478.08</v>
      </c>
      <c r="J161" s="82">
        <f t="shared" si="14"/>
        <v>-3.3849955074630914E-2</v>
      </c>
      <c r="K161" s="42"/>
      <c r="L161" s="86">
        <v>255.13</v>
      </c>
      <c r="M161" s="82">
        <f t="shared" si="15"/>
        <v>-3.7099939613526534E-2</v>
      </c>
      <c r="N161" s="42"/>
      <c r="O161" s="78">
        <v>2352.4</v>
      </c>
      <c r="P161" s="82">
        <f t="shared" si="16"/>
        <v>2.0874018139999118E-2</v>
      </c>
      <c r="Q161" s="42"/>
      <c r="R161" s="78">
        <v>1016.9</v>
      </c>
      <c r="S161" s="82">
        <f t="shared" si="17"/>
        <v>-2.4696686328106399E-2</v>
      </c>
    </row>
    <row r="162" spans="2:19" ht="16.5">
      <c r="B162" s="85">
        <v>44997</v>
      </c>
      <c r="C162" s="80">
        <v>2862.65</v>
      </c>
      <c r="D162" s="82">
        <f t="shared" si="12"/>
        <v>1.1465620804183452E-2</v>
      </c>
      <c r="E162"/>
      <c r="F162" s="88">
        <v>17100.05</v>
      </c>
      <c r="G162" s="79">
        <f t="shared" si="13"/>
        <v>-1.796656501788918E-2</v>
      </c>
      <c r="I162" s="91">
        <v>494.54</v>
      </c>
      <c r="J162" s="82">
        <f t="shared" si="14"/>
        <v>7.3468558497212025E-3</v>
      </c>
      <c r="K162" s="42"/>
      <c r="L162" s="86">
        <v>264.95999999999998</v>
      </c>
      <c r="M162" s="82">
        <f t="shared" si="15"/>
        <v>-2.2143489813994721E-2</v>
      </c>
      <c r="N162" s="42"/>
      <c r="O162" s="78">
        <v>2304.3000000000002</v>
      </c>
      <c r="P162" s="82">
        <f t="shared" si="16"/>
        <v>1.0281254795361461E-2</v>
      </c>
      <c r="Q162" s="42"/>
      <c r="R162" s="78">
        <v>1042.6500000000001</v>
      </c>
      <c r="S162" s="82">
        <f t="shared" si="17"/>
        <v>1.9185572449531563E-4</v>
      </c>
    </row>
    <row r="163" spans="2:19" ht="16.5">
      <c r="B163" s="85">
        <v>44990</v>
      </c>
      <c r="C163" s="80">
        <v>2830.2</v>
      </c>
      <c r="D163" s="82">
        <f t="shared" si="12"/>
        <v>4.772257277692038E-4</v>
      </c>
      <c r="E163"/>
      <c r="F163" s="88">
        <v>17412.900000000001</v>
      </c>
      <c r="G163" s="79">
        <f t="shared" si="13"/>
        <v>-1.0312969788596749E-2</v>
      </c>
      <c r="I163" s="91">
        <v>490.92</v>
      </c>
      <c r="J163" s="82">
        <f t="shared" si="14"/>
        <v>1.4278923056030532E-2</v>
      </c>
      <c r="K163" s="42"/>
      <c r="L163" s="86">
        <v>270.95999999999998</v>
      </c>
      <c r="M163" s="82">
        <f t="shared" si="15"/>
        <v>-5.7243505063848676E-3</v>
      </c>
      <c r="N163" s="42"/>
      <c r="O163" s="78">
        <v>2280.85</v>
      </c>
      <c r="P163" s="82">
        <f t="shared" si="16"/>
        <v>4.3938943176877077E-2</v>
      </c>
      <c r="Q163" s="42"/>
      <c r="R163" s="78">
        <v>1042.45</v>
      </c>
      <c r="S163" s="82">
        <f t="shared" si="17"/>
        <v>-3.4321445113478455E-2</v>
      </c>
    </row>
    <row r="164" spans="2:19" ht="16.5">
      <c r="B164" s="85">
        <v>44983</v>
      </c>
      <c r="C164" s="80">
        <v>2828.85</v>
      </c>
      <c r="D164" s="82">
        <f t="shared" si="12"/>
        <v>3.2992514150082197E-2</v>
      </c>
      <c r="E164"/>
      <c r="F164" s="88">
        <v>17594.349999999999</v>
      </c>
      <c r="G164" s="79">
        <f t="shared" si="13"/>
        <v>7.360098020130712E-3</v>
      </c>
      <c r="I164" s="91">
        <v>483.96</v>
      </c>
      <c r="J164" s="82">
        <f t="shared" si="14"/>
        <v>3.9878835280181851E-2</v>
      </c>
      <c r="K164" s="42"/>
      <c r="L164" s="86">
        <v>272.52</v>
      </c>
      <c r="M164" s="82">
        <f t="shared" si="15"/>
        <v>-2.052258922474226E-2</v>
      </c>
      <c r="N164" s="42"/>
      <c r="O164" s="78">
        <v>2184.85</v>
      </c>
      <c r="P164" s="82">
        <f t="shared" si="16"/>
        <v>-4.3519868756836111E-3</v>
      </c>
      <c r="Q164" s="42"/>
      <c r="R164" s="78">
        <v>1079.5</v>
      </c>
      <c r="S164" s="82">
        <f t="shared" si="17"/>
        <v>6.1559642049365815E-2</v>
      </c>
    </row>
    <row r="165" spans="2:19" ht="16.5">
      <c r="B165" s="85">
        <v>44976</v>
      </c>
      <c r="C165" s="80">
        <v>2738.5</v>
      </c>
      <c r="D165" s="82">
        <f t="shared" si="12"/>
        <v>-3.3561547148503679E-2</v>
      </c>
      <c r="E165"/>
      <c r="F165" s="88">
        <v>17465.8</v>
      </c>
      <c r="G165" s="79">
        <f t="shared" si="13"/>
        <v>-2.6660425095574092E-2</v>
      </c>
      <c r="I165" s="91">
        <v>465.04</v>
      </c>
      <c r="J165" s="82">
        <f t="shared" si="14"/>
        <v>-1.9358122302518495E-2</v>
      </c>
      <c r="K165" s="42"/>
      <c r="L165" s="86">
        <v>278.23</v>
      </c>
      <c r="M165" s="82">
        <f t="shared" si="15"/>
        <v>1.0973438465172292E-2</v>
      </c>
      <c r="N165" s="42"/>
      <c r="O165" s="78">
        <v>2194.4</v>
      </c>
      <c r="P165" s="82">
        <f t="shared" si="16"/>
        <v>7.6223712002938537E-3</v>
      </c>
      <c r="Q165" s="42"/>
      <c r="R165" s="78">
        <v>1016.9</v>
      </c>
      <c r="S165" s="82">
        <f t="shared" si="17"/>
        <v>-5.9035810123068466E-2</v>
      </c>
    </row>
    <row r="166" spans="2:19" ht="16.5">
      <c r="B166" s="85">
        <v>44969</v>
      </c>
      <c r="C166" s="80">
        <v>2833.6</v>
      </c>
      <c r="D166" s="82">
        <f t="shared" si="12"/>
        <v>1.0340155458888889E-2</v>
      </c>
      <c r="E166"/>
      <c r="F166" s="88">
        <v>17944.2</v>
      </c>
      <c r="G166" s="79">
        <f t="shared" si="13"/>
        <v>4.9113768095652155E-3</v>
      </c>
      <c r="I166" s="91">
        <v>474.13</v>
      </c>
      <c r="J166" s="82">
        <f t="shared" si="14"/>
        <v>-4.6293456410287518E-3</v>
      </c>
      <c r="K166" s="42"/>
      <c r="L166" s="86">
        <v>275.20999999999998</v>
      </c>
      <c r="M166" s="82">
        <f t="shared" si="15"/>
        <v>-1.1813285457809797E-2</v>
      </c>
      <c r="N166" s="42"/>
      <c r="O166" s="78">
        <v>2177.8000000000002</v>
      </c>
      <c r="P166" s="82">
        <f t="shared" si="16"/>
        <v>-5.9387552369023489E-2</v>
      </c>
      <c r="Q166" s="42"/>
      <c r="R166" s="78">
        <v>1080.7</v>
      </c>
      <c r="S166" s="82">
        <f t="shared" si="17"/>
        <v>-6.9805474264072909E-2</v>
      </c>
    </row>
    <row r="167" spans="2:19" ht="16.5">
      <c r="B167" s="85">
        <v>44962</v>
      </c>
      <c r="C167" s="80">
        <v>2804.6</v>
      </c>
      <c r="D167" s="82">
        <f t="shared" si="12"/>
        <v>1.6012172148963888E-2</v>
      </c>
      <c r="E167"/>
      <c r="F167" s="88">
        <v>17856.5</v>
      </c>
      <c r="G167" s="79">
        <f t="shared" si="13"/>
        <v>1.372237671564136E-4</v>
      </c>
      <c r="I167" s="91">
        <v>476.33</v>
      </c>
      <c r="J167" s="82">
        <f t="shared" si="14"/>
        <v>2.3535995814282253E-2</v>
      </c>
      <c r="K167" s="42"/>
      <c r="L167" s="86">
        <v>278.5</v>
      </c>
      <c r="M167" s="82">
        <f t="shared" si="15"/>
        <v>4.6897546897546327E-3</v>
      </c>
      <c r="N167" s="42"/>
      <c r="O167" s="78">
        <v>2315.3000000000002</v>
      </c>
      <c r="P167" s="82">
        <f t="shared" si="16"/>
        <v>4.7504863593177404E-2</v>
      </c>
      <c r="Q167" s="42"/>
      <c r="R167" s="78">
        <v>1161.8</v>
      </c>
      <c r="S167" s="82">
        <f t="shared" si="17"/>
        <v>2.2621248129566007E-2</v>
      </c>
    </row>
    <row r="168" spans="2:19" ht="16.5">
      <c r="B168" s="85">
        <v>44955</v>
      </c>
      <c r="C168" s="80">
        <v>2760.4</v>
      </c>
      <c r="D168" s="82">
        <f t="shared" si="12"/>
        <v>1.3865168126641292E-2</v>
      </c>
      <c r="E168"/>
      <c r="F168" s="88">
        <v>17854.05</v>
      </c>
      <c r="G168" s="79">
        <f t="shared" si="13"/>
        <v>1.4183994296864233E-2</v>
      </c>
      <c r="I168" s="91">
        <v>465.25</v>
      </c>
      <c r="J168" s="82">
        <f t="shared" si="14"/>
        <v>3.4261081918085759E-2</v>
      </c>
      <c r="K168" s="42"/>
      <c r="L168" s="86">
        <v>277.2</v>
      </c>
      <c r="M168" s="82">
        <f t="shared" si="15"/>
        <v>1.7770597738287375E-2</v>
      </c>
      <c r="N168" s="42"/>
      <c r="O168" s="78">
        <v>2210.3000000000002</v>
      </c>
      <c r="P168" s="82">
        <f t="shared" si="16"/>
        <v>-1.3941246012803665E-2</v>
      </c>
      <c r="Q168" s="42"/>
      <c r="R168" s="78">
        <v>1136.0999999999999</v>
      </c>
      <c r="S168" s="82">
        <f t="shared" si="17"/>
        <v>-6.335792901603543E-2</v>
      </c>
    </row>
    <row r="169" spans="2:19" ht="16.5">
      <c r="B169" s="85">
        <v>44948</v>
      </c>
      <c r="C169" s="80">
        <v>2722.65</v>
      </c>
      <c r="D169" s="82">
        <f t="shared" si="12"/>
        <v>-2.3369682186670571E-2</v>
      </c>
      <c r="E169"/>
      <c r="F169" s="88">
        <v>17604.349999999999</v>
      </c>
      <c r="G169" s="79">
        <f t="shared" si="13"/>
        <v>-2.3480597859399488E-2</v>
      </c>
      <c r="I169" s="91">
        <v>449.58</v>
      </c>
      <c r="J169" s="82">
        <f t="shared" si="14"/>
        <v>-3.2195543390823061E-2</v>
      </c>
      <c r="K169" s="42"/>
      <c r="L169" s="86">
        <v>272.36</v>
      </c>
      <c r="M169" s="82">
        <f t="shared" si="15"/>
        <v>-1.9582433405327615E-2</v>
      </c>
      <c r="N169" s="42"/>
      <c r="O169" s="78">
        <v>2241.5500000000002</v>
      </c>
      <c r="P169" s="82">
        <f t="shared" si="16"/>
        <v>-7.7685804081270016E-3</v>
      </c>
      <c r="Q169" s="42"/>
      <c r="R169" s="78">
        <v>1212.95</v>
      </c>
      <c r="S169" s="82">
        <f t="shared" si="17"/>
        <v>-1.474291284217355E-2</v>
      </c>
    </row>
    <row r="170" spans="2:19" ht="16.5">
      <c r="B170" s="85">
        <v>44941</v>
      </c>
      <c r="C170" s="80">
        <v>2787.8</v>
      </c>
      <c r="D170" s="82">
        <f t="shared" si="12"/>
        <v>-4.1713215200316234E-2</v>
      </c>
      <c r="E170"/>
      <c r="F170" s="88">
        <v>18027.650000000001</v>
      </c>
      <c r="G170" s="79">
        <f t="shared" si="13"/>
        <v>3.9567624160476988E-3</v>
      </c>
      <c r="I170" s="91">
        <v>464.29</v>
      </c>
      <c r="J170" s="82">
        <f t="shared" si="14"/>
        <v>-8.9413621696663934E-3</v>
      </c>
      <c r="K170" s="42"/>
      <c r="L170" s="86">
        <v>277.8</v>
      </c>
      <c r="M170" s="82">
        <f t="shared" si="15"/>
        <v>1.2464465340039421E-2</v>
      </c>
      <c r="N170" s="42"/>
      <c r="O170" s="78">
        <v>2259.1</v>
      </c>
      <c r="P170" s="82">
        <f t="shared" si="16"/>
        <v>1.5234585655222066E-2</v>
      </c>
      <c r="Q170" s="42"/>
      <c r="R170" s="78">
        <v>1231.0999999999999</v>
      </c>
      <c r="S170" s="82">
        <f t="shared" si="17"/>
        <v>-3.9478817195911731E-2</v>
      </c>
    </row>
    <row r="171" spans="2:19" ht="16.5">
      <c r="B171" s="85">
        <v>44934</v>
      </c>
      <c r="C171" s="80">
        <v>2909.15</v>
      </c>
      <c r="D171" s="82">
        <f t="shared" si="12"/>
        <v>-2.325073865162508E-2</v>
      </c>
      <c r="E171"/>
      <c r="F171" s="88">
        <v>17956.599999999999</v>
      </c>
      <c r="G171" s="79">
        <f t="shared" si="13"/>
        <v>5.4396971911228054E-3</v>
      </c>
      <c r="I171" s="91">
        <v>468.46</v>
      </c>
      <c r="J171" s="82">
        <f t="shared" si="14"/>
        <v>-1.1060157537143281E-2</v>
      </c>
      <c r="K171" s="42"/>
      <c r="L171" s="86">
        <v>274.38</v>
      </c>
      <c r="M171" s="82">
        <f t="shared" si="15"/>
        <v>-1.429803132634011E-2</v>
      </c>
      <c r="N171" s="42"/>
      <c r="O171" s="78">
        <v>2225.1999999999998</v>
      </c>
      <c r="P171" s="82">
        <f t="shared" si="16"/>
        <v>6.3996743628591535E-3</v>
      </c>
      <c r="Q171" s="42"/>
      <c r="R171" s="78">
        <v>1281.7</v>
      </c>
      <c r="S171" s="82">
        <f t="shared" si="17"/>
        <v>-9.6967355611357053E-3</v>
      </c>
    </row>
    <row r="172" spans="2:19" ht="16.5">
      <c r="B172" s="85">
        <v>44927</v>
      </c>
      <c r="C172" s="80">
        <v>2978.4</v>
      </c>
      <c r="D172" s="82">
        <f t="shared" si="12"/>
        <v>-3.546099290780147E-2</v>
      </c>
      <c r="E172"/>
      <c r="F172" s="88">
        <v>17859.45</v>
      </c>
      <c r="G172" s="79">
        <f t="shared" si="13"/>
        <v>-1.3578896787128536E-2</v>
      </c>
      <c r="I172" s="91">
        <v>473.67</v>
      </c>
      <c r="J172" s="82">
        <f t="shared" si="14"/>
        <v>-2.2523991881178762E-2</v>
      </c>
      <c r="K172" s="42"/>
      <c r="L172" s="86">
        <v>278.36</v>
      </c>
      <c r="M172" s="82">
        <f t="shared" si="15"/>
        <v>-4.5208204706043809E-2</v>
      </c>
      <c r="N172" s="42"/>
      <c r="O172" s="78">
        <v>2211.0500000000002</v>
      </c>
      <c r="P172" s="82">
        <f t="shared" si="16"/>
        <v>-3.8296051001328602E-3</v>
      </c>
      <c r="Q172" s="42"/>
      <c r="R172" s="78">
        <v>1294.25</v>
      </c>
      <c r="S172" s="82">
        <f t="shared" si="17"/>
        <v>-6.4102564102563875E-3</v>
      </c>
    </row>
    <row r="173" spans="2:19" ht="16.5">
      <c r="B173" s="85">
        <v>44920</v>
      </c>
      <c r="C173" s="80">
        <v>3087.9</v>
      </c>
      <c r="D173" s="82">
        <f t="shared" si="12"/>
        <v>9.8106543706464322E-3</v>
      </c>
      <c r="E173"/>
      <c r="F173" s="88">
        <v>18105.3</v>
      </c>
      <c r="G173" s="79">
        <f t="shared" si="13"/>
        <v>1.6763258979715534E-2</v>
      </c>
      <c r="I173" s="91">
        <v>484.46</v>
      </c>
      <c r="J173" s="82">
        <f t="shared" si="14"/>
        <v>1.0019895259256863E-2</v>
      </c>
      <c r="K173" s="42"/>
      <c r="L173" s="86">
        <v>291.54000000000002</v>
      </c>
      <c r="M173" s="82">
        <f t="shared" si="15"/>
        <v>3.8543744656597267E-2</v>
      </c>
      <c r="N173" s="42"/>
      <c r="O173" s="78">
        <v>2219.5500000000002</v>
      </c>
      <c r="P173" s="82">
        <f t="shared" si="16"/>
        <v>1.3238684348679586E-2</v>
      </c>
      <c r="Q173" s="42"/>
      <c r="R173" s="78">
        <v>1302.5999999999999</v>
      </c>
      <c r="S173" s="82">
        <f t="shared" si="17"/>
        <v>4.0000000000000036E-2</v>
      </c>
    </row>
    <row r="174" spans="2:19" ht="16.5">
      <c r="B174" s="85">
        <v>44913</v>
      </c>
      <c r="C174" s="80">
        <v>3057.9</v>
      </c>
      <c r="D174" s="82">
        <f t="shared" si="12"/>
        <v>6.544716777381332E-4</v>
      </c>
      <c r="E174"/>
      <c r="F174" s="88">
        <v>17806.8</v>
      </c>
      <c r="G174" s="79">
        <f t="shared" si="13"/>
        <v>-2.5299687996058973E-2</v>
      </c>
      <c r="I174" s="91">
        <v>479.63</v>
      </c>
      <c r="J174" s="82">
        <f t="shared" si="14"/>
        <v>-3.2976104991248673E-2</v>
      </c>
      <c r="K174" s="42"/>
      <c r="L174" s="86">
        <v>280.72000000000003</v>
      </c>
      <c r="M174" s="82">
        <f t="shared" si="15"/>
        <v>-1.5708274894810526E-2</v>
      </c>
      <c r="N174" s="42"/>
      <c r="O174" s="78">
        <v>2190.5500000000002</v>
      </c>
      <c r="P174" s="82">
        <f t="shared" si="16"/>
        <v>-3.7818724880855581E-2</v>
      </c>
      <c r="Q174" s="42"/>
      <c r="R174" s="78">
        <v>1252.5</v>
      </c>
      <c r="S174" s="82">
        <f t="shared" si="17"/>
        <v>-5.0488969752103596E-2</v>
      </c>
    </row>
    <row r="175" spans="2:19" ht="16.5">
      <c r="B175" s="85">
        <v>44906</v>
      </c>
      <c r="C175" s="80">
        <v>3055.9</v>
      </c>
      <c r="D175" s="82">
        <f t="shared" si="12"/>
        <v>-5.3006709121616313E-2</v>
      </c>
      <c r="E175"/>
      <c r="F175" s="88">
        <v>18269</v>
      </c>
      <c r="G175" s="79">
        <f t="shared" si="13"/>
        <v>-1.2304964155574472E-2</v>
      </c>
      <c r="I175" s="91">
        <v>495.71</v>
      </c>
      <c r="J175" s="82">
        <f t="shared" si="14"/>
        <v>-3.3563259068183894E-2</v>
      </c>
      <c r="K175" s="42"/>
      <c r="L175" s="86">
        <v>285.2</v>
      </c>
      <c r="M175" s="82">
        <f t="shared" si="15"/>
        <v>-3.7949063923089943E-2</v>
      </c>
      <c r="N175" s="42"/>
      <c r="O175" s="78">
        <v>2276.65</v>
      </c>
      <c r="P175" s="82">
        <f t="shared" si="16"/>
        <v>1.1327543699886755E-2</v>
      </c>
      <c r="Q175" s="42"/>
      <c r="R175" s="78">
        <v>1319.1</v>
      </c>
      <c r="S175" s="82">
        <f t="shared" si="17"/>
        <v>-9.4615904482993063E-3</v>
      </c>
    </row>
    <row r="176" spans="2:19" ht="16.5">
      <c r="B176" s="85">
        <v>44899</v>
      </c>
      <c r="C176" s="80">
        <v>3226.95</v>
      </c>
      <c r="D176" s="82">
        <f t="shared" si="12"/>
        <v>2.6563171038190614E-2</v>
      </c>
      <c r="E176"/>
      <c r="F176" s="88">
        <v>18496.599999999999</v>
      </c>
      <c r="G176" s="79">
        <f t="shared" si="13"/>
        <v>-1.0670674632677457E-2</v>
      </c>
      <c r="I176" s="91">
        <v>512.63</v>
      </c>
      <c r="J176" s="82">
        <f t="shared" si="14"/>
        <v>-2.0266985403563516E-3</v>
      </c>
      <c r="K176" s="42"/>
      <c r="L176" s="86">
        <v>296.45</v>
      </c>
      <c r="M176" s="82">
        <f t="shared" si="15"/>
        <v>1.3504273504273412E-2</v>
      </c>
      <c r="N176" s="42"/>
      <c r="O176" s="78">
        <v>2251.15</v>
      </c>
      <c r="P176" s="82">
        <f t="shared" si="16"/>
        <v>-1.9790124531916642E-2</v>
      </c>
      <c r="Q176" s="42"/>
      <c r="R176" s="78">
        <v>1331.7</v>
      </c>
      <c r="S176" s="82">
        <f t="shared" si="17"/>
        <v>-6.6017679310730326E-3</v>
      </c>
    </row>
    <row r="177" spans="2:19" ht="16.5">
      <c r="B177" s="85">
        <v>44892</v>
      </c>
      <c r="C177" s="80">
        <v>3143.45</v>
      </c>
      <c r="D177" s="82">
        <f t="shared" si="12"/>
        <v>1.1357238228528077E-2</v>
      </c>
      <c r="E177"/>
      <c r="F177" s="88">
        <v>18696.099999999999</v>
      </c>
      <c r="G177" s="79">
        <f t="shared" si="13"/>
        <v>9.9039850913558158E-3</v>
      </c>
      <c r="I177" s="91">
        <v>513.66999999999996</v>
      </c>
      <c r="J177" s="82">
        <f t="shared" si="14"/>
        <v>-4.8657539472440848E-4</v>
      </c>
      <c r="K177" s="42"/>
      <c r="L177" s="86">
        <v>292.5</v>
      </c>
      <c r="M177" s="82">
        <f t="shared" si="15"/>
        <v>1.2390973279800654E-2</v>
      </c>
      <c r="N177" s="42"/>
      <c r="O177" s="78">
        <v>2296.6</v>
      </c>
      <c r="P177" s="82">
        <f t="shared" si="16"/>
        <v>-5.8008658008658065E-3</v>
      </c>
      <c r="Q177" s="42"/>
      <c r="R177" s="78">
        <v>1340.55</v>
      </c>
      <c r="S177" s="82">
        <f t="shared" si="17"/>
        <v>1.645372862721306E-2</v>
      </c>
    </row>
    <row r="178" spans="2:19" ht="16.5">
      <c r="B178" s="85">
        <v>44885</v>
      </c>
      <c r="C178" s="80">
        <v>3108.15</v>
      </c>
      <c r="D178" s="82">
        <f t="shared" si="12"/>
        <v>4.0865772896139241E-3</v>
      </c>
      <c r="E178"/>
      <c r="F178" s="88">
        <v>18512.75</v>
      </c>
      <c r="G178" s="79">
        <f t="shared" si="13"/>
        <v>1.1202967065680136E-2</v>
      </c>
      <c r="I178" s="91">
        <v>513.91999999999996</v>
      </c>
      <c r="J178" s="82">
        <f t="shared" si="14"/>
        <v>2.1556967243536413E-2</v>
      </c>
      <c r="K178" s="42"/>
      <c r="L178" s="86">
        <v>288.92</v>
      </c>
      <c r="M178" s="82">
        <f t="shared" si="15"/>
        <v>2.7766208524226954E-3</v>
      </c>
      <c r="N178" s="42"/>
      <c r="O178" s="78">
        <v>2310</v>
      </c>
      <c r="P178" s="82">
        <f t="shared" si="16"/>
        <v>-1.2799418790999773E-2</v>
      </c>
      <c r="Q178" s="42"/>
      <c r="R178" s="78">
        <v>1318.85</v>
      </c>
      <c r="S178" s="82">
        <f t="shared" si="17"/>
        <v>-1.3132295719844533E-2</v>
      </c>
    </row>
    <row r="179" spans="2:19" ht="16.5">
      <c r="B179" s="85">
        <v>44878</v>
      </c>
      <c r="C179" s="80">
        <v>3095.5</v>
      </c>
      <c r="D179" s="82">
        <f t="shared" si="12"/>
        <v>1.3124304510047757E-2</v>
      </c>
      <c r="E179"/>
      <c r="F179" s="88">
        <v>18307.650000000001</v>
      </c>
      <c r="G179" s="79">
        <f t="shared" si="13"/>
        <v>-2.2915905982113793E-3</v>
      </c>
      <c r="I179" s="91">
        <v>502.96</v>
      </c>
      <c r="J179" s="82">
        <f t="shared" si="14"/>
        <v>9.067548995770407E-3</v>
      </c>
      <c r="K179" s="42"/>
      <c r="L179" s="86">
        <v>288.12</v>
      </c>
      <c r="M179" s="82">
        <f t="shared" si="15"/>
        <v>-2.9964312167530704E-2</v>
      </c>
      <c r="N179" s="42"/>
      <c r="O179" s="78">
        <v>2339.9499999999998</v>
      </c>
      <c r="P179" s="82">
        <f t="shared" si="16"/>
        <v>3.0247660979636715E-2</v>
      </c>
      <c r="Q179" s="42"/>
      <c r="R179" s="78">
        <v>1336.4</v>
      </c>
      <c r="S179" s="82">
        <f t="shared" si="17"/>
        <v>-7.1493086917251314E-2</v>
      </c>
    </row>
    <row r="180" spans="2:19" ht="16.5">
      <c r="B180" s="85">
        <v>44871</v>
      </c>
      <c r="C180" s="80">
        <v>3055.4</v>
      </c>
      <c r="D180" s="82">
        <f t="shared" si="12"/>
        <v>-3.9590111116349913E-2</v>
      </c>
      <c r="E180"/>
      <c r="F180" s="88">
        <v>18349.7</v>
      </c>
      <c r="G180" s="79">
        <f t="shared" si="13"/>
        <v>1.2835904101914375E-2</v>
      </c>
      <c r="I180" s="91">
        <v>498.42</v>
      </c>
      <c r="J180" s="82">
        <f t="shared" si="14"/>
        <v>-1.0220057816833588E-2</v>
      </c>
      <c r="K180" s="42"/>
      <c r="L180" s="86">
        <v>297.02</v>
      </c>
      <c r="M180" s="82">
        <f t="shared" si="15"/>
        <v>-1.109803262149156E-3</v>
      </c>
      <c r="N180" s="42"/>
      <c r="O180" s="78">
        <v>2271.25</v>
      </c>
      <c r="P180" s="82">
        <f t="shared" si="16"/>
        <v>7.8876116283488562E-2</v>
      </c>
      <c r="Q180" s="42"/>
      <c r="R180" s="78">
        <v>1439.3</v>
      </c>
      <c r="S180" s="82">
        <f t="shared" si="17"/>
        <v>-6.6995105824393164E-2</v>
      </c>
    </row>
    <row r="181" spans="2:19" ht="16.5">
      <c r="B181" s="85">
        <v>44864</v>
      </c>
      <c r="C181" s="80">
        <v>3181.35</v>
      </c>
      <c r="D181" s="82">
        <f t="shared" si="12"/>
        <v>4.1904106897229232E-2</v>
      </c>
      <c r="E181"/>
      <c r="F181" s="88">
        <v>18117.150000000001</v>
      </c>
      <c r="G181" s="79">
        <f t="shared" si="13"/>
        <v>1.8572761823374861E-2</v>
      </c>
      <c r="I181" s="91">
        <v>503.54</v>
      </c>
      <c r="J181" s="82">
        <f t="shared" si="14"/>
        <v>4.9879051664605295E-2</v>
      </c>
      <c r="K181" s="42"/>
      <c r="L181" s="86">
        <v>297.35000000000002</v>
      </c>
      <c r="M181" s="82">
        <f t="shared" si="15"/>
        <v>-5.9227386338469246E-2</v>
      </c>
      <c r="N181" s="42"/>
      <c r="O181" s="78">
        <v>2105.1999999999998</v>
      </c>
      <c r="P181" s="82">
        <f t="shared" si="16"/>
        <v>-1.2014266941993812E-2</v>
      </c>
      <c r="Q181" s="42"/>
      <c r="R181" s="78">
        <v>1542.65</v>
      </c>
      <c r="S181" s="82">
        <f t="shared" si="17"/>
        <v>7.8738505646655854E-2</v>
      </c>
    </row>
    <row r="182" spans="2:19" ht="16.5">
      <c r="B182" s="85">
        <v>44857</v>
      </c>
      <c r="C182" s="80">
        <v>3053.4</v>
      </c>
      <c r="D182" s="82">
        <f t="shared" si="12"/>
        <v>-1.2611563833915374E-2</v>
      </c>
      <c r="E182"/>
      <c r="F182" s="88">
        <v>17786.8</v>
      </c>
      <c r="G182" s="79">
        <f t="shared" si="13"/>
        <v>1.1976354522851729E-2</v>
      </c>
      <c r="I182" s="91">
        <v>479.04</v>
      </c>
      <c r="J182" s="82">
        <f t="shared" si="14"/>
        <v>-1.8100884135422275E-2</v>
      </c>
      <c r="K182" s="42"/>
      <c r="L182" s="86">
        <v>316.07</v>
      </c>
      <c r="M182" s="82">
        <f t="shared" si="15"/>
        <v>-6.2566811293467417E-3</v>
      </c>
      <c r="N182" s="42"/>
      <c r="O182" s="78">
        <v>2130.8000000000002</v>
      </c>
      <c r="P182" s="82">
        <f t="shared" si="16"/>
        <v>-3.5773574317845558E-3</v>
      </c>
      <c r="Q182" s="42"/>
      <c r="R182" s="78">
        <v>1430.05</v>
      </c>
      <c r="S182" s="82">
        <f t="shared" si="17"/>
        <v>7.8937167424322219E-3</v>
      </c>
    </row>
    <row r="183" spans="2:19" ht="16.5">
      <c r="B183" s="85">
        <v>44850</v>
      </c>
      <c r="C183" s="80">
        <v>3092.4</v>
      </c>
      <c r="D183" s="82">
        <f t="shared" si="12"/>
        <v>-2.9226181133260032E-2</v>
      </c>
      <c r="E183"/>
      <c r="F183" s="88">
        <v>17576.3</v>
      </c>
      <c r="G183" s="79">
        <f t="shared" si="13"/>
        <v>2.2728198444055048E-2</v>
      </c>
      <c r="I183" s="91">
        <v>487.79</v>
      </c>
      <c r="J183" s="82">
        <f t="shared" si="14"/>
        <v>-4.5172589922915334E-2</v>
      </c>
      <c r="K183" s="42"/>
      <c r="L183" s="86">
        <v>318.06</v>
      </c>
      <c r="M183" s="82">
        <f t="shared" si="15"/>
        <v>-4.4447226743458135E-3</v>
      </c>
      <c r="N183" s="42"/>
      <c r="O183" s="78">
        <v>2138.4499999999998</v>
      </c>
      <c r="P183" s="82">
        <f t="shared" si="16"/>
        <v>4.5134646400469158E-2</v>
      </c>
      <c r="Q183" s="42"/>
      <c r="R183" s="78">
        <v>1418.85</v>
      </c>
      <c r="S183" s="82">
        <f t="shared" si="17"/>
        <v>-4.3031059252015114E-2</v>
      </c>
    </row>
    <row r="184" spans="2:19" ht="16.5">
      <c r="B184" s="85">
        <v>44843</v>
      </c>
      <c r="C184" s="80">
        <v>3185.5</v>
      </c>
      <c r="D184" s="82">
        <f t="shared" si="12"/>
        <v>-4.731285701468424E-2</v>
      </c>
      <c r="E184"/>
      <c r="F184" s="88">
        <v>17185.7</v>
      </c>
      <c r="G184" s="79">
        <f t="shared" si="13"/>
        <v>-7.4474505693156168E-3</v>
      </c>
      <c r="I184" s="91">
        <v>510.33</v>
      </c>
      <c r="J184" s="82">
        <f t="shared" si="14"/>
        <v>-2.1805091029426904E-2</v>
      </c>
      <c r="K184" s="42"/>
      <c r="L184" s="86">
        <v>319.48</v>
      </c>
      <c r="M184" s="82">
        <f t="shared" si="15"/>
        <v>1.2069566319257374E-2</v>
      </c>
      <c r="N184" s="42"/>
      <c r="O184" s="78">
        <v>2046.1</v>
      </c>
      <c r="P184" s="82">
        <f t="shared" si="16"/>
        <v>-8.013577000022476E-2</v>
      </c>
      <c r="Q184" s="42"/>
      <c r="R184" s="78">
        <v>1482.65</v>
      </c>
      <c r="S184" s="82">
        <f t="shared" si="17"/>
        <v>-7.2980482742458497E-3</v>
      </c>
    </row>
    <row r="185" spans="2:19" ht="16.5">
      <c r="B185" s="85">
        <v>44836</v>
      </c>
      <c r="C185" s="80">
        <v>3343.7</v>
      </c>
      <c r="D185" s="82">
        <f t="shared" si="12"/>
        <v>3.739771724333707E-4</v>
      </c>
      <c r="E185"/>
      <c r="F185" s="88">
        <v>17314.650000000001</v>
      </c>
      <c r="G185" s="79">
        <f t="shared" si="13"/>
        <v>1.2887299019851861E-2</v>
      </c>
      <c r="I185" s="91">
        <v>521.58000000000004</v>
      </c>
      <c r="J185" s="82">
        <f t="shared" si="14"/>
        <v>1.430871624643758E-2</v>
      </c>
      <c r="K185" s="42"/>
      <c r="L185" s="86">
        <v>315.67</v>
      </c>
      <c r="M185" s="82">
        <f t="shared" si="15"/>
        <v>-2.8677805470937567E-2</v>
      </c>
      <c r="N185" s="42"/>
      <c r="O185" s="78">
        <v>2224.35</v>
      </c>
      <c r="P185" s="82">
        <f t="shared" si="16"/>
        <v>8.4782263731779661E-3</v>
      </c>
      <c r="Q185" s="42"/>
      <c r="R185" s="78">
        <v>1493.55</v>
      </c>
      <c r="S185" s="82">
        <f t="shared" si="17"/>
        <v>-3.9015606242498446E-3</v>
      </c>
    </row>
    <row r="186" spans="2:19" ht="16.5">
      <c r="B186" s="85">
        <v>44829</v>
      </c>
      <c r="C186" s="80">
        <v>3342.45</v>
      </c>
      <c r="D186" s="82">
        <f t="shared" si="12"/>
        <v>-1.5551137618732058E-2</v>
      </c>
      <c r="E186"/>
      <c r="F186" s="88">
        <v>17094.349999999999</v>
      </c>
      <c r="G186" s="79">
        <f t="shared" si="13"/>
        <v>-1.3446949475828696E-2</v>
      </c>
      <c r="I186" s="91">
        <v>514.16999999999996</v>
      </c>
      <c r="J186" s="82">
        <f t="shared" si="14"/>
        <v>-2.6693837307925003E-2</v>
      </c>
      <c r="K186" s="42"/>
      <c r="L186" s="86">
        <v>324.99</v>
      </c>
      <c r="M186" s="82">
        <f t="shared" si="15"/>
        <v>2.2013270857574208E-2</v>
      </c>
      <c r="N186" s="42"/>
      <c r="O186" s="78">
        <v>2205.65</v>
      </c>
      <c r="P186" s="82">
        <f t="shared" si="16"/>
        <v>2.2720422878074853E-2</v>
      </c>
      <c r="Q186" s="42"/>
      <c r="R186" s="78">
        <v>1499.4</v>
      </c>
      <c r="S186" s="82">
        <f t="shared" si="17"/>
        <v>-1.5883433972171068E-2</v>
      </c>
    </row>
    <row r="187" spans="2:19" ht="16.5">
      <c r="B187" s="85">
        <v>44822</v>
      </c>
      <c r="C187" s="80">
        <v>3395.25</v>
      </c>
      <c r="D187" s="82">
        <f t="shared" si="12"/>
        <v>2.1880784337331205E-2</v>
      </c>
      <c r="E187"/>
      <c r="F187" s="88">
        <v>17327.349999999999</v>
      </c>
      <c r="G187" s="79">
        <f t="shared" si="13"/>
        <v>-1.1608107992481798E-2</v>
      </c>
      <c r="I187" s="91">
        <v>528.08000000000004</v>
      </c>
      <c r="J187" s="82">
        <f t="shared" si="14"/>
        <v>-8.3351102030647384E-3</v>
      </c>
      <c r="K187" s="42"/>
      <c r="L187" s="86">
        <v>317.99</v>
      </c>
      <c r="M187" s="82">
        <f t="shared" si="15"/>
        <v>-1.6639457490894571E-3</v>
      </c>
      <c r="N187" s="42"/>
      <c r="O187" s="78">
        <v>2156.65</v>
      </c>
      <c r="P187" s="82">
        <f t="shared" si="16"/>
        <v>1.1324736225087895E-2</v>
      </c>
      <c r="Q187" s="42"/>
      <c r="R187" s="78">
        <v>1523.6</v>
      </c>
      <c r="S187" s="82">
        <f t="shared" si="17"/>
        <v>-4.8552783588846959E-2</v>
      </c>
    </row>
    <row r="188" spans="2:19" ht="16.5">
      <c r="B188" s="85">
        <v>44815</v>
      </c>
      <c r="C188" s="80">
        <v>3322.55</v>
      </c>
      <c r="D188" s="82">
        <f t="shared" si="12"/>
        <v>-3.4661591876461673E-2</v>
      </c>
      <c r="E188"/>
      <c r="F188" s="88">
        <v>17530.849999999999</v>
      </c>
      <c r="G188" s="79">
        <f t="shared" si="13"/>
        <v>-1.6962600969531838E-2</v>
      </c>
      <c r="I188" s="91">
        <v>532.5</v>
      </c>
      <c r="J188" s="82">
        <f t="shared" si="14"/>
        <v>-3.8371670984368611E-2</v>
      </c>
      <c r="K188" s="42"/>
      <c r="L188" s="86">
        <v>318.52</v>
      </c>
      <c r="M188" s="82">
        <f t="shared" si="15"/>
        <v>-6.5265876276558332E-2</v>
      </c>
      <c r="N188" s="42"/>
      <c r="O188" s="78">
        <v>2132.5</v>
      </c>
      <c r="P188" s="82">
        <f t="shared" si="16"/>
        <v>5.6032881867927875E-2</v>
      </c>
      <c r="Q188" s="42"/>
      <c r="R188" s="78">
        <v>1601.35</v>
      </c>
      <c r="S188" s="82">
        <f t="shared" si="17"/>
        <v>3.04697554697555E-2</v>
      </c>
    </row>
    <row r="189" spans="2:19" ht="16.5">
      <c r="B189" s="85">
        <v>44808</v>
      </c>
      <c r="C189" s="80">
        <v>3441.85</v>
      </c>
      <c r="D189" s="82">
        <f t="shared" si="12"/>
        <v>3.1477244575275343E-3</v>
      </c>
      <c r="E189"/>
      <c r="F189" s="88">
        <v>17833.349999999999</v>
      </c>
      <c r="G189" s="79">
        <f t="shared" si="13"/>
        <v>1.6756511749228098E-2</v>
      </c>
      <c r="I189" s="91">
        <v>553.33000000000004</v>
      </c>
      <c r="J189" s="82">
        <f t="shared" si="14"/>
        <v>-6.2335805208674306E-3</v>
      </c>
      <c r="K189" s="42"/>
      <c r="L189" s="86">
        <v>340.76</v>
      </c>
      <c r="M189" s="82">
        <f t="shared" si="15"/>
        <v>2.7437737441958543E-2</v>
      </c>
      <c r="N189" s="42"/>
      <c r="O189" s="78">
        <v>2019.35</v>
      </c>
      <c r="P189" s="82">
        <f t="shared" si="16"/>
        <v>4.0714304120390565E-2</v>
      </c>
      <c r="Q189" s="42"/>
      <c r="R189" s="78">
        <v>1554</v>
      </c>
      <c r="S189" s="82">
        <f t="shared" si="17"/>
        <v>-2.2395571212883714E-2</v>
      </c>
    </row>
    <row r="190" spans="2:19" ht="16.5">
      <c r="B190" s="85">
        <v>44801</v>
      </c>
      <c r="C190" s="80">
        <v>3431.05</v>
      </c>
      <c r="D190" s="82">
        <f t="shared" si="12"/>
        <v>3.2344932376525026E-2</v>
      </c>
      <c r="E190"/>
      <c r="F190" s="88">
        <v>17539.45</v>
      </c>
      <c r="G190" s="79">
        <f t="shared" si="13"/>
        <v>-1.1077003684741848E-3</v>
      </c>
      <c r="I190" s="91">
        <v>556.79</v>
      </c>
      <c r="J190" s="82">
        <f t="shared" si="14"/>
        <v>1.2033535155419375E-2</v>
      </c>
      <c r="K190" s="42"/>
      <c r="L190" s="86">
        <v>331.66</v>
      </c>
      <c r="M190" s="82">
        <f t="shared" si="15"/>
        <v>1.3785725202506649E-2</v>
      </c>
      <c r="N190" s="42"/>
      <c r="O190" s="78">
        <v>1940.35</v>
      </c>
      <c r="P190" s="82">
        <f t="shared" si="16"/>
        <v>6.9623517276951041E-4</v>
      </c>
      <c r="Q190" s="42"/>
      <c r="R190" s="78">
        <v>1589.6</v>
      </c>
      <c r="S190" s="82">
        <f t="shared" si="17"/>
        <v>-4.8371647509578675E-2</v>
      </c>
    </row>
    <row r="191" spans="2:19" ht="16.5">
      <c r="B191" s="85">
        <v>44794</v>
      </c>
      <c r="C191" s="80">
        <v>3323.55</v>
      </c>
      <c r="D191" s="82">
        <f t="shared" si="12"/>
        <v>-4.5656200198130659E-2</v>
      </c>
      <c r="E191"/>
      <c r="F191" s="88">
        <v>17558.900000000001</v>
      </c>
      <c r="G191" s="79">
        <f t="shared" si="13"/>
        <v>-1.1236904121699753E-2</v>
      </c>
      <c r="I191" s="91">
        <v>550.13</v>
      </c>
      <c r="J191" s="82">
        <f t="shared" si="14"/>
        <v>-5.4458439806206356E-2</v>
      </c>
      <c r="K191" s="42"/>
      <c r="L191" s="86">
        <v>327.14999999999998</v>
      </c>
      <c r="M191" s="82">
        <f t="shared" si="15"/>
        <v>-2.5294958884519159E-2</v>
      </c>
      <c r="N191" s="42"/>
      <c r="O191" s="78">
        <v>1939</v>
      </c>
      <c r="P191" s="82">
        <f t="shared" si="16"/>
        <v>2.1547863653126775E-2</v>
      </c>
      <c r="Q191" s="42"/>
      <c r="R191" s="78">
        <v>1670.4</v>
      </c>
      <c r="S191" s="82">
        <f t="shared" si="17"/>
        <v>0.10531017369727058</v>
      </c>
    </row>
    <row r="192" spans="2:19" ht="16.5">
      <c r="B192" s="85">
        <v>44787</v>
      </c>
      <c r="C192" s="80">
        <v>3482.55</v>
      </c>
      <c r="D192" s="82">
        <f t="shared" si="12"/>
        <v>1.5957524395758371E-2</v>
      </c>
      <c r="E192"/>
      <c r="F192" s="88">
        <v>17758.45</v>
      </c>
      <c r="G192" s="79">
        <f t="shared" si="13"/>
        <v>3.4071357740781405E-3</v>
      </c>
      <c r="I192" s="91">
        <v>580.91999999999996</v>
      </c>
      <c r="J192" s="82">
        <f t="shared" si="14"/>
        <v>3.0144079866062507E-2</v>
      </c>
      <c r="K192" s="42"/>
      <c r="L192" s="86">
        <v>335.64</v>
      </c>
      <c r="M192" s="82">
        <f t="shared" si="15"/>
        <v>2.3136716963877424E-2</v>
      </c>
      <c r="N192" s="42"/>
      <c r="O192" s="78">
        <v>1898.1</v>
      </c>
      <c r="P192" s="82">
        <f t="shared" si="16"/>
        <v>-1.0143151417172924E-2</v>
      </c>
      <c r="Q192" s="42"/>
      <c r="R192" s="78">
        <v>1511.25</v>
      </c>
      <c r="S192" s="82">
        <f t="shared" si="17"/>
        <v>4.2862838915471713E-3</v>
      </c>
    </row>
    <row r="193" spans="2:19" ht="16.5">
      <c r="B193" s="85">
        <v>44780</v>
      </c>
      <c r="C193" s="80">
        <v>3427.85</v>
      </c>
      <c r="D193" s="82">
        <f t="shared" si="12"/>
        <v>-1.3255994703359364E-2</v>
      </c>
      <c r="E193"/>
      <c r="F193" s="88">
        <v>17698.150000000001</v>
      </c>
      <c r="G193" s="79">
        <f t="shared" si="13"/>
        <v>1.7281218565885936E-2</v>
      </c>
      <c r="I193" s="91">
        <v>563.66999999999996</v>
      </c>
      <c r="J193" s="82">
        <f t="shared" si="14"/>
        <v>3.9284399885830398E-3</v>
      </c>
      <c r="K193" s="42"/>
      <c r="L193" s="86">
        <v>328.05</v>
      </c>
      <c r="M193" s="82">
        <f t="shared" si="15"/>
        <v>-1.4332071389940415E-2</v>
      </c>
      <c r="N193" s="42"/>
      <c r="O193" s="78">
        <v>1917.55</v>
      </c>
      <c r="P193" s="82">
        <f t="shared" si="16"/>
        <v>5.6377176421229525E-3</v>
      </c>
      <c r="Q193" s="42"/>
      <c r="R193" s="78">
        <v>1504.8</v>
      </c>
      <c r="S193" s="82">
        <f t="shared" si="17"/>
        <v>-3.8282098804882758E-2</v>
      </c>
    </row>
    <row r="194" spans="2:19" ht="16.5">
      <c r="B194" s="85">
        <v>44773</v>
      </c>
      <c r="C194" s="80">
        <v>3473.9</v>
      </c>
      <c r="D194" s="82">
        <f t="shared" si="12"/>
        <v>4.2039745031871023E-2</v>
      </c>
      <c r="E194"/>
      <c r="F194" s="88">
        <v>17397.5</v>
      </c>
      <c r="G194" s="79">
        <f t="shared" si="13"/>
        <v>1.3943729692713402E-2</v>
      </c>
      <c r="I194" s="91">
        <v>561.46</v>
      </c>
      <c r="J194" s="82">
        <f t="shared" si="14"/>
        <v>7.5596959273363226E-2</v>
      </c>
      <c r="K194" s="42"/>
      <c r="L194" s="86">
        <v>332.82</v>
      </c>
      <c r="M194" s="82">
        <f t="shared" si="15"/>
        <v>0.25360653885268736</v>
      </c>
      <c r="N194" s="42"/>
      <c r="O194" s="78">
        <v>1906.8</v>
      </c>
      <c r="P194" s="82">
        <f t="shared" si="16"/>
        <v>-1.9640102827763517E-2</v>
      </c>
      <c r="Q194" s="42"/>
      <c r="R194" s="78">
        <v>1564.7</v>
      </c>
      <c r="S194" s="82">
        <f t="shared" si="17"/>
        <v>0.12430839979880726</v>
      </c>
    </row>
    <row r="195" spans="2:19" ht="16.5">
      <c r="B195" s="85">
        <v>44766</v>
      </c>
      <c r="C195" s="80">
        <v>3333.75</v>
      </c>
      <c r="D195" s="82">
        <f t="shared" si="12"/>
        <v>8.6832496576905394E-2</v>
      </c>
      <c r="E195"/>
      <c r="F195" s="88">
        <v>17158.25</v>
      </c>
      <c r="G195" s="79">
        <f t="shared" si="13"/>
        <v>2.6244882457257868E-2</v>
      </c>
      <c r="I195" s="91">
        <v>520.58000000000004</v>
      </c>
      <c r="J195" s="82">
        <f t="shared" si="14"/>
        <v>5.8153274562377379E-2</v>
      </c>
      <c r="K195" s="42"/>
      <c r="L195" s="86">
        <v>265.49</v>
      </c>
      <c r="M195" s="82">
        <f t="shared" si="15"/>
        <v>-5.3574104600629946E-3</v>
      </c>
      <c r="N195" s="42"/>
      <c r="O195" s="78">
        <v>1945</v>
      </c>
      <c r="P195" s="82">
        <f t="shared" si="16"/>
        <v>1.0520846863228961E-2</v>
      </c>
      <c r="Q195" s="42"/>
      <c r="R195" s="78">
        <v>1391.7</v>
      </c>
      <c r="S195" s="82">
        <f t="shared" si="17"/>
        <v>-1.148352831407351E-3</v>
      </c>
    </row>
    <row r="196" spans="2:19" ht="16.5">
      <c r="B196" s="85">
        <v>44759</v>
      </c>
      <c r="C196" s="80">
        <v>3067.4</v>
      </c>
      <c r="D196" s="82">
        <f t="shared" si="12"/>
        <v>2.996826889176174E-2</v>
      </c>
      <c r="E196"/>
      <c r="F196" s="88">
        <v>16719.45</v>
      </c>
      <c r="G196" s="79">
        <f t="shared" si="13"/>
        <v>4.1762206215886222E-2</v>
      </c>
      <c r="I196" s="91">
        <v>491.17</v>
      </c>
      <c r="J196" s="82">
        <f t="shared" si="14"/>
        <v>2.7095889050536982E-2</v>
      </c>
      <c r="K196" s="42"/>
      <c r="L196" s="86">
        <v>266.92</v>
      </c>
      <c r="M196" s="82">
        <f t="shared" si="15"/>
        <v>2.7208004618048953E-2</v>
      </c>
      <c r="N196" s="42"/>
      <c r="O196" s="78">
        <v>1924.75</v>
      </c>
      <c r="P196" s="82">
        <f t="shared" si="16"/>
        <v>2.3956461734759849E-3</v>
      </c>
      <c r="Q196" s="42"/>
      <c r="R196" s="78">
        <v>1393.3</v>
      </c>
      <c r="S196" s="82">
        <f t="shared" si="17"/>
        <v>-1.1212830884962055E-2</v>
      </c>
    </row>
    <row r="197" spans="2:19" ht="16.5">
      <c r="B197" s="85">
        <v>44752</v>
      </c>
      <c r="C197" s="80">
        <v>2978.15</v>
      </c>
      <c r="D197" s="82">
        <f t="shared" si="12"/>
        <v>3.4151677199805608E-2</v>
      </c>
      <c r="E197"/>
      <c r="F197" s="88">
        <v>16049.2</v>
      </c>
      <c r="G197" s="79">
        <f t="shared" si="13"/>
        <v>-1.0566810105668067E-2</v>
      </c>
      <c r="I197" s="91">
        <v>478.04</v>
      </c>
      <c r="J197" s="82">
        <f t="shared" si="14"/>
        <v>-2.0026555915561919E-2</v>
      </c>
      <c r="K197" s="42"/>
      <c r="L197" s="86">
        <v>259.85000000000002</v>
      </c>
      <c r="M197" s="82">
        <f t="shared" si="15"/>
        <v>1.657543751445667E-3</v>
      </c>
      <c r="N197" s="42"/>
      <c r="O197" s="78">
        <v>1920.15</v>
      </c>
      <c r="P197" s="82">
        <f t="shared" si="16"/>
        <v>1.2577123872804963E-2</v>
      </c>
      <c r="Q197" s="42"/>
      <c r="R197" s="78">
        <v>1409.1</v>
      </c>
      <c r="S197" s="82">
        <f t="shared" si="17"/>
        <v>-1.777498954412382E-2</v>
      </c>
    </row>
    <row r="198" spans="2:19" ht="16.5">
      <c r="B198" s="85">
        <v>44745</v>
      </c>
      <c r="C198" s="80">
        <v>2879.8</v>
      </c>
      <c r="D198" s="82">
        <f t="shared" si="12"/>
        <v>3.8458071146530104E-2</v>
      </c>
      <c r="E198"/>
      <c r="F198" s="88">
        <v>16220.6</v>
      </c>
      <c r="G198" s="79">
        <f t="shared" si="13"/>
        <v>2.9745334734209372E-2</v>
      </c>
      <c r="I198" s="91">
        <v>487.71</v>
      </c>
      <c r="J198" s="82">
        <f t="shared" si="14"/>
        <v>5.1391799990233552E-3</v>
      </c>
      <c r="K198" s="42"/>
      <c r="L198" s="86">
        <v>259.42</v>
      </c>
      <c r="M198" s="82">
        <f t="shared" si="15"/>
        <v>4.9433656957929006E-2</v>
      </c>
      <c r="N198" s="42"/>
      <c r="O198" s="78">
        <v>1896.3</v>
      </c>
      <c r="P198" s="82">
        <f t="shared" si="16"/>
        <v>1.0120918340169371E-2</v>
      </c>
      <c r="Q198" s="42"/>
      <c r="R198" s="78">
        <v>1434.6</v>
      </c>
      <c r="S198" s="82">
        <f t="shared" si="17"/>
        <v>3.6448361810497376E-2</v>
      </c>
    </row>
    <row r="199" spans="2:19" ht="16.5">
      <c r="B199" s="85">
        <v>44738</v>
      </c>
      <c r="C199" s="80">
        <v>2773.15</v>
      </c>
      <c r="D199" s="82">
        <f t="shared" si="12"/>
        <v>4.436958962657167E-3</v>
      </c>
      <c r="E199"/>
      <c r="F199" s="88">
        <v>15752.05</v>
      </c>
      <c r="G199" s="79">
        <f t="shared" si="13"/>
        <v>3.3632179881204483E-3</v>
      </c>
      <c r="I199" s="91">
        <v>485.21</v>
      </c>
      <c r="J199" s="82">
        <f t="shared" si="14"/>
        <v>-2.0137578756602631E-2</v>
      </c>
      <c r="K199" s="42"/>
      <c r="L199" s="86">
        <v>247.2</v>
      </c>
      <c r="M199" s="82">
        <f t="shared" si="15"/>
        <v>-2.0185708518368761E-3</v>
      </c>
      <c r="N199" s="42"/>
      <c r="O199" s="78">
        <v>1877.3</v>
      </c>
      <c r="P199" s="82">
        <f t="shared" si="16"/>
        <v>5.4129934302880489E-2</v>
      </c>
      <c r="Q199" s="42"/>
      <c r="R199" s="78">
        <v>1384.15</v>
      </c>
      <c r="S199" s="82">
        <f t="shared" si="17"/>
        <v>-2.9586006239702645E-2</v>
      </c>
    </row>
    <row r="200" spans="2:19" ht="16.5">
      <c r="B200" s="85">
        <v>44731</v>
      </c>
      <c r="C200" s="80">
        <v>2760.9</v>
      </c>
      <c r="D200" s="82">
        <f t="shared" ref="D200:D263" si="18">(C200/C201)-1</f>
        <v>7.0033330749554423E-2</v>
      </c>
      <c r="E200"/>
      <c r="F200" s="88">
        <v>15699.25</v>
      </c>
      <c r="G200" s="79">
        <f t="shared" ref="G200:G263" si="19">(F200/F201)-1</f>
        <v>2.6530879131657192E-2</v>
      </c>
      <c r="I200" s="91">
        <v>495.08</v>
      </c>
      <c r="J200" s="82">
        <f t="shared" ref="J200:J263" si="20">LN(I200/I201)</f>
        <v>5.7769315723624627E-2</v>
      </c>
      <c r="K200" s="42"/>
      <c r="L200" s="86">
        <v>247.7</v>
      </c>
      <c r="M200" s="82">
        <f t="shared" ref="M200:M263" si="21">(L200/L201)-1</f>
        <v>6.3378565044283075E-3</v>
      </c>
      <c r="N200" s="42"/>
      <c r="O200" s="78">
        <v>1780.9</v>
      </c>
      <c r="P200" s="82">
        <f t="shared" ref="P200:P263" si="22">(O200/O201)-1</f>
        <v>4.6603196991067408E-2</v>
      </c>
      <c r="Q200" s="42"/>
      <c r="R200" s="78">
        <v>1426.35</v>
      </c>
      <c r="S200" s="82">
        <f t="shared" ref="S200:S263" si="23">(R200/R201)-1</f>
        <v>-2.8313758389263421E-3</v>
      </c>
    </row>
    <row r="201" spans="2:19" ht="16.5">
      <c r="B201" s="85">
        <v>44724</v>
      </c>
      <c r="C201" s="80">
        <v>2580.1999999999998</v>
      </c>
      <c r="D201" s="82">
        <f t="shared" si="18"/>
        <v>-4.7457314259344741E-2</v>
      </c>
      <c r="E201"/>
      <c r="F201" s="88">
        <v>15293.5</v>
      </c>
      <c r="G201" s="79">
        <f t="shared" si="19"/>
        <v>-5.6061672159883447E-2</v>
      </c>
      <c r="I201" s="91">
        <v>467.29</v>
      </c>
      <c r="J201" s="82">
        <f t="shared" si="20"/>
        <v>-3.505220872508006E-2</v>
      </c>
      <c r="K201" s="42"/>
      <c r="L201" s="86">
        <v>246.14</v>
      </c>
      <c r="M201" s="82">
        <f t="shared" si="21"/>
        <v>-7.0784099059987171E-2</v>
      </c>
      <c r="N201" s="42"/>
      <c r="O201" s="78">
        <v>1701.6</v>
      </c>
      <c r="P201" s="82">
        <f t="shared" si="22"/>
        <v>-4.7149736812633014E-2</v>
      </c>
      <c r="Q201" s="42"/>
      <c r="R201" s="78">
        <v>1430.4</v>
      </c>
      <c r="S201" s="82">
        <f t="shared" si="23"/>
        <v>-7.7101748499903255E-2</v>
      </c>
    </row>
    <row r="202" spans="2:19" ht="16.5">
      <c r="B202" s="85">
        <v>44717</v>
      </c>
      <c r="C202" s="80">
        <v>2708.75</v>
      </c>
      <c r="D202" s="82">
        <f t="shared" si="18"/>
        <v>-6.1709792510997952E-2</v>
      </c>
      <c r="E202"/>
      <c r="F202" s="88">
        <v>16201.8</v>
      </c>
      <c r="G202" s="79">
        <f t="shared" si="19"/>
        <v>-2.3063982200032584E-2</v>
      </c>
      <c r="I202" s="91">
        <v>483.96</v>
      </c>
      <c r="J202" s="82">
        <f t="shared" si="20"/>
        <v>-4.7336804348908877E-2</v>
      </c>
      <c r="K202" s="42"/>
      <c r="L202" s="86">
        <v>264.89</v>
      </c>
      <c r="M202" s="82">
        <f t="shared" si="21"/>
        <v>-3.331873585869638E-2</v>
      </c>
      <c r="N202" s="42"/>
      <c r="O202" s="78">
        <v>1785.8</v>
      </c>
      <c r="P202" s="82">
        <f t="shared" si="22"/>
        <v>-5.5131703513950914E-3</v>
      </c>
      <c r="Q202" s="42"/>
      <c r="R202" s="78">
        <v>1549.9</v>
      </c>
      <c r="S202" s="82">
        <f t="shared" si="23"/>
        <v>-1.3744829780464429E-2</v>
      </c>
    </row>
    <row r="203" spans="2:19" ht="16.5">
      <c r="B203" s="85">
        <v>44710</v>
      </c>
      <c r="C203" s="80">
        <v>2886.9</v>
      </c>
      <c r="D203" s="82">
        <f t="shared" si="18"/>
        <v>1.8360759828562445E-2</v>
      </c>
      <c r="E203"/>
      <c r="F203" s="88">
        <v>16584.3</v>
      </c>
      <c r="G203" s="79">
        <f t="shared" si="19"/>
        <v>1.4178303556959371E-2</v>
      </c>
      <c r="I203" s="91">
        <v>507.42</v>
      </c>
      <c r="J203" s="82">
        <f t="shared" si="20"/>
        <v>5.6845460707341484E-2</v>
      </c>
      <c r="K203" s="42"/>
      <c r="L203" s="86">
        <v>274.02</v>
      </c>
      <c r="M203" s="82">
        <f t="shared" si="21"/>
        <v>1.9761080718990742E-2</v>
      </c>
      <c r="N203" s="42"/>
      <c r="O203" s="78">
        <v>1795.7</v>
      </c>
      <c r="P203" s="82">
        <f t="shared" si="22"/>
        <v>3.3080197905879682E-2</v>
      </c>
      <c r="Q203" s="42"/>
      <c r="R203" s="78">
        <v>1571.5</v>
      </c>
      <c r="S203" s="82">
        <f t="shared" si="23"/>
        <v>-3.7719103616596916E-3</v>
      </c>
    </row>
    <row r="204" spans="2:19" ht="16.5">
      <c r="B204" s="85">
        <v>44703</v>
      </c>
      <c r="C204" s="80">
        <v>2834.85</v>
      </c>
      <c r="D204" s="82">
        <f t="shared" si="18"/>
        <v>-8.8458013794433965E-2</v>
      </c>
      <c r="E204"/>
      <c r="F204" s="88">
        <v>16352.45</v>
      </c>
      <c r="G204" s="79">
        <f t="shared" si="19"/>
        <v>5.3054963835941216E-3</v>
      </c>
      <c r="I204" s="91">
        <v>479.38</v>
      </c>
      <c r="J204" s="82">
        <f t="shared" si="20"/>
        <v>-9.1456888722960455E-2</v>
      </c>
      <c r="K204" s="42"/>
      <c r="L204" s="86">
        <v>268.70999999999998</v>
      </c>
      <c r="M204" s="82">
        <f t="shared" si="21"/>
        <v>1.5417753089218778E-2</v>
      </c>
      <c r="N204" s="42"/>
      <c r="O204" s="78">
        <v>1738.2</v>
      </c>
      <c r="P204" s="82">
        <f t="shared" si="22"/>
        <v>-2.6136650138667061E-2</v>
      </c>
      <c r="Q204" s="42"/>
      <c r="R204" s="78">
        <v>1577.45</v>
      </c>
      <c r="S204" s="82">
        <f t="shared" si="23"/>
        <v>-2.6295484707262062E-2</v>
      </c>
    </row>
    <row r="205" spans="2:19" ht="16.5">
      <c r="B205" s="85">
        <v>44696</v>
      </c>
      <c r="C205" s="80">
        <v>3109.95</v>
      </c>
      <c r="D205" s="82">
        <f t="shared" si="18"/>
        <v>1.4996736292428148E-2</v>
      </c>
      <c r="E205"/>
      <c r="F205" s="88">
        <v>16266.15</v>
      </c>
      <c r="G205" s="79">
        <f t="shared" si="19"/>
        <v>3.0667557968971249E-2</v>
      </c>
      <c r="I205" s="91">
        <v>525.29</v>
      </c>
      <c r="J205" s="82">
        <f t="shared" si="20"/>
        <v>-4.0644552975545666E-2</v>
      </c>
      <c r="K205" s="42"/>
      <c r="L205" s="86">
        <v>264.63</v>
      </c>
      <c r="M205" s="82">
        <f t="shared" si="21"/>
        <v>1.51383264580085E-3</v>
      </c>
      <c r="N205" s="42"/>
      <c r="O205" s="78">
        <v>1784.85</v>
      </c>
      <c r="P205" s="82">
        <f t="shared" si="22"/>
        <v>1.1533012184754776E-2</v>
      </c>
      <c r="Q205" s="42"/>
      <c r="R205" s="78">
        <v>1620.05</v>
      </c>
      <c r="S205" s="82">
        <f t="shared" si="23"/>
        <v>0.1220348374138589</v>
      </c>
    </row>
    <row r="206" spans="2:19" ht="16.5">
      <c r="B206" s="85">
        <v>44689</v>
      </c>
      <c r="C206" s="80">
        <v>3064</v>
      </c>
      <c r="D206" s="82">
        <f t="shared" si="18"/>
        <v>1.5830915872357965E-2</v>
      </c>
      <c r="E206"/>
      <c r="F206" s="88">
        <v>15782.15</v>
      </c>
      <c r="G206" s="79">
        <f t="shared" si="19"/>
        <v>-3.8333460278772158E-2</v>
      </c>
      <c r="I206" s="91">
        <v>547.08000000000004</v>
      </c>
      <c r="J206" s="82">
        <f t="shared" si="20"/>
        <v>-1.5417569098696132E-2</v>
      </c>
      <c r="K206" s="42"/>
      <c r="L206" s="86">
        <v>264.23</v>
      </c>
      <c r="M206" s="82">
        <f t="shared" si="21"/>
        <v>-0.11788075048407554</v>
      </c>
      <c r="N206" s="42"/>
      <c r="O206" s="78">
        <v>1764.5</v>
      </c>
      <c r="P206" s="82">
        <f t="shared" si="22"/>
        <v>-3.6161031299502988E-2</v>
      </c>
      <c r="Q206" s="42"/>
      <c r="R206" s="78">
        <v>1443.85</v>
      </c>
      <c r="S206" s="82">
        <f t="shared" si="23"/>
        <v>-3.15905965994836E-2</v>
      </c>
    </row>
    <row r="207" spans="2:19" ht="16.5">
      <c r="B207" s="85">
        <v>44682</v>
      </c>
      <c r="C207" s="80">
        <v>3016.25</v>
      </c>
      <c r="D207" s="82">
        <f t="shared" si="18"/>
        <v>-6.8253428889163414E-2</v>
      </c>
      <c r="E207"/>
      <c r="F207" s="88">
        <v>16411.25</v>
      </c>
      <c r="G207" s="79">
        <f t="shared" si="19"/>
        <v>-4.0420872910764682E-2</v>
      </c>
      <c r="I207" s="91">
        <v>555.58000000000004</v>
      </c>
      <c r="J207" s="82">
        <f t="shared" si="20"/>
        <v>-7.4062973121193296E-2</v>
      </c>
      <c r="K207" s="42"/>
      <c r="L207" s="86">
        <v>299.54000000000002</v>
      </c>
      <c r="M207" s="82">
        <f t="shared" si="21"/>
        <v>-3.8857692924755161E-2</v>
      </c>
      <c r="N207" s="42"/>
      <c r="O207" s="78">
        <v>1830.7</v>
      </c>
      <c r="P207" s="82">
        <f t="shared" si="22"/>
        <v>-2.5419894061593284E-2</v>
      </c>
      <c r="Q207" s="42"/>
      <c r="R207" s="78">
        <v>1490.95</v>
      </c>
      <c r="S207" s="82">
        <f t="shared" si="23"/>
        <v>-4.1805912596400985E-2</v>
      </c>
    </row>
    <row r="208" spans="2:19" ht="16.5">
      <c r="B208" s="85">
        <v>44675</v>
      </c>
      <c r="C208" s="80">
        <v>3237.2</v>
      </c>
      <c r="D208" s="82">
        <f t="shared" si="18"/>
        <v>2.3005941094678128E-2</v>
      </c>
      <c r="E208"/>
      <c r="F208" s="88">
        <v>17102.55</v>
      </c>
      <c r="G208" s="79">
        <f t="shared" si="19"/>
        <v>-4.0414746141237412E-3</v>
      </c>
      <c r="I208" s="91">
        <v>598.29</v>
      </c>
      <c r="J208" s="82">
        <f t="shared" si="20"/>
        <v>1.8067758992879651E-3</v>
      </c>
      <c r="K208" s="42"/>
      <c r="L208" s="86">
        <v>311.64999999999998</v>
      </c>
      <c r="M208" s="82">
        <f t="shared" si="21"/>
        <v>-5.4518632544420242E-4</v>
      </c>
      <c r="N208" s="42"/>
      <c r="O208" s="78">
        <v>1878.45</v>
      </c>
      <c r="P208" s="82">
        <f t="shared" si="22"/>
        <v>-5.3216838760921092E-3</v>
      </c>
      <c r="Q208" s="42"/>
      <c r="R208" s="78">
        <v>1556</v>
      </c>
      <c r="S208" s="82">
        <f t="shared" si="23"/>
        <v>-5.7807180936486624E-4</v>
      </c>
    </row>
    <row r="209" spans="2:19" ht="16.5">
      <c r="B209" s="85">
        <v>44668</v>
      </c>
      <c r="C209" s="80">
        <v>3164.4</v>
      </c>
      <c r="D209" s="82">
        <f t="shared" si="18"/>
        <v>2.7185821174102953E-2</v>
      </c>
      <c r="E209"/>
      <c r="F209" s="88">
        <v>17171.95</v>
      </c>
      <c r="G209" s="79">
        <f t="shared" si="19"/>
        <v>-1.7378466609253462E-2</v>
      </c>
      <c r="I209" s="91">
        <v>597.21</v>
      </c>
      <c r="J209" s="82">
        <f t="shared" si="20"/>
        <v>-1.0410947973876017E-2</v>
      </c>
      <c r="K209" s="42"/>
      <c r="L209" s="86">
        <v>311.82</v>
      </c>
      <c r="M209" s="82">
        <f t="shared" si="21"/>
        <v>1.0237802112356587E-2</v>
      </c>
      <c r="N209" s="42"/>
      <c r="O209" s="78">
        <v>1888.5</v>
      </c>
      <c r="P209" s="82">
        <f t="shared" si="22"/>
        <v>-3.5878225083100235E-3</v>
      </c>
      <c r="Q209" s="42"/>
      <c r="R209" s="78">
        <v>1556.9</v>
      </c>
      <c r="S209" s="82">
        <f t="shared" si="23"/>
        <v>-4.0017264767542193E-2</v>
      </c>
    </row>
    <row r="210" spans="2:19" ht="16.5">
      <c r="B210" s="85">
        <v>44661</v>
      </c>
      <c r="C210" s="80">
        <v>3080.65</v>
      </c>
      <c r="D210" s="82">
        <f t="shared" si="18"/>
        <v>-3.9173489278752416E-2</v>
      </c>
      <c r="E210"/>
      <c r="F210" s="88">
        <v>17475.650000000001</v>
      </c>
      <c r="G210" s="79">
        <f t="shared" si="19"/>
        <v>-1.7357957979909133E-2</v>
      </c>
      <c r="I210" s="91">
        <v>603.46</v>
      </c>
      <c r="J210" s="82">
        <f t="shared" si="20"/>
        <v>-1.4330263409172084E-2</v>
      </c>
      <c r="K210" s="42"/>
      <c r="L210" s="86">
        <v>308.66000000000003</v>
      </c>
      <c r="M210" s="82">
        <f t="shared" si="21"/>
        <v>1.8175916910094791E-3</v>
      </c>
      <c r="N210" s="42"/>
      <c r="O210" s="78">
        <v>1895.3</v>
      </c>
      <c r="P210" s="82">
        <f t="shared" si="22"/>
        <v>-1.0183831209525818E-2</v>
      </c>
      <c r="Q210" s="42"/>
      <c r="R210" s="78">
        <v>1621.8</v>
      </c>
      <c r="S210" s="82">
        <f t="shared" si="23"/>
        <v>-3.0980192991366229E-2</v>
      </c>
    </row>
    <row r="211" spans="2:19" ht="16.5">
      <c r="B211" s="85">
        <v>44654</v>
      </c>
      <c r="C211" s="80">
        <v>3206.25</v>
      </c>
      <c r="D211" s="82">
        <f t="shared" si="18"/>
        <v>2.9574683300419125E-2</v>
      </c>
      <c r="E211"/>
      <c r="F211" s="88">
        <v>17784.349999999999</v>
      </c>
      <c r="G211" s="79">
        <f t="shared" si="19"/>
        <v>6.4457894394311932E-3</v>
      </c>
      <c r="I211" s="91">
        <v>612.16999999999996</v>
      </c>
      <c r="J211" s="82">
        <f t="shared" si="20"/>
        <v>3.1815622719274433E-2</v>
      </c>
      <c r="K211" s="42"/>
      <c r="L211" s="86">
        <v>308.10000000000002</v>
      </c>
      <c r="M211" s="82">
        <f t="shared" si="21"/>
        <v>-1.1929959592072215E-2</v>
      </c>
      <c r="N211" s="42"/>
      <c r="O211" s="78">
        <v>1914.8</v>
      </c>
      <c r="P211" s="82">
        <f t="shared" si="22"/>
        <v>-4.1088053258439006E-3</v>
      </c>
      <c r="Q211" s="42"/>
      <c r="R211" s="78">
        <v>1673.65</v>
      </c>
      <c r="S211" s="82">
        <f t="shared" si="23"/>
        <v>3.5162048490846143E-2</v>
      </c>
    </row>
    <row r="212" spans="2:19" ht="16.5">
      <c r="B212" s="85">
        <v>44647</v>
      </c>
      <c r="C212" s="80">
        <v>3114.15</v>
      </c>
      <c r="D212" s="82">
        <f t="shared" si="18"/>
        <v>2.2054841726973029E-2</v>
      </c>
      <c r="E212"/>
      <c r="F212" s="88">
        <v>17670.45</v>
      </c>
      <c r="G212" s="79">
        <f t="shared" si="19"/>
        <v>3.0166734681979834E-2</v>
      </c>
      <c r="I212" s="91">
        <v>593</v>
      </c>
      <c r="J212" s="82">
        <f t="shared" si="20"/>
        <v>3.2861213791726386E-2</v>
      </c>
      <c r="K212" s="42"/>
      <c r="L212" s="86">
        <v>311.82</v>
      </c>
      <c r="M212" s="82">
        <f t="shared" si="21"/>
        <v>3.4228855721393003E-2</v>
      </c>
      <c r="N212" s="42"/>
      <c r="O212" s="78">
        <v>1922.7</v>
      </c>
      <c r="P212" s="82">
        <f t="shared" si="22"/>
        <v>-1.1414468610211337E-2</v>
      </c>
      <c r="Q212" s="42"/>
      <c r="R212" s="78">
        <v>1616.8</v>
      </c>
      <c r="S212" s="82">
        <f t="shared" si="23"/>
        <v>5.5765965782943683E-2</v>
      </c>
    </row>
    <row r="213" spans="2:19" ht="16.5">
      <c r="B213" s="85">
        <v>44640</v>
      </c>
      <c r="C213" s="80">
        <v>3046.95</v>
      </c>
      <c r="D213" s="82">
        <f t="shared" si="18"/>
        <v>-2.8581903972454303E-2</v>
      </c>
      <c r="E213"/>
      <c r="F213" s="88">
        <v>17153</v>
      </c>
      <c r="G213" s="79">
        <f t="shared" si="19"/>
        <v>-7.7543594771808388E-3</v>
      </c>
      <c r="I213" s="91">
        <v>573.83000000000004</v>
      </c>
      <c r="J213" s="82">
        <f t="shared" si="20"/>
        <v>-4.174240102724075E-2</v>
      </c>
      <c r="K213" s="42"/>
      <c r="L213" s="86">
        <v>301.5</v>
      </c>
      <c r="M213" s="82">
        <f t="shared" si="21"/>
        <v>-4.5372510527815546E-2</v>
      </c>
      <c r="N213" s="42"/>
      <c r="O213" s="78">
        <v>1944.9</v>
      </c>
      <c r="P213" s="82">
        <f t="shared" si="22"/>
        <v>2.0350859115381148E-3</v>
      </c>
      <c r="Q213" s="42"/>
      <c r="R213" s="78">
        <v>1531.4</v>
      </c>
      <c r="S213" s="82">
        <f t="shared" si="23"/>
        <v>-6.4336775218427289E-2</v>
      </c>
    </row>
    <row r="214" spans="2:19" ht="16.5">
      <c r="B214" s="85">
        <v>44633</v>
      </c>
      <c r="C214" s="80">
        <v>3136.6</v>
      </c>
      <c r="D214" s="82">
        <f t="shared" si="18"/>
        <v>6.9781718963165096E-2</v>
      </c>
      <c r="E214"/>
      <c r="F214" s="88">
        <v>17287.05</v>
      </c>
      <c r="G214" s="79">
        <f t="shared" si="19"/>
        <v>3.9481793938227705E-2</v>
      </c>
      <c r="I214" s="91">
        <v>598.29</v>
      </c>
      <c r="J214" s="82">
        <f t="shared" si="20"/>
        <v>5.5410839149069226E-2</v>
      </c>
      <c r="K214" s="42"/>
      <c r="L214" s="86">
        <v>315.83</v>
      </c>
      <c r="M214" s="82">
        <f t="shared" si="21"/>
        <v>5.7206935797013969E-2</v>
      </c>
      <c r="N214" s="42"/>
      <c r="O214" s="78">
        <v>1940.95</v>
      </c>
      <c r="P214" s="82">
        <f t="shared" si="22"/>
        <v>-5.7372640422098664E-3</v>
      </c>
      <c r="Q214" s="42"/>
      <c r="R214" s="78">
        <v>1636.7</v>
      </c>
      <c r="S214" s="82">
        <f t="shared" si="23"/>
        <v>-2.4379837874077825E-3</v>
      </c>
    </row>
    <row r="215" spans="2:19" ht="16.5">
      <c r="B215" s="85">
        <v>44626</v>
      </c>
      <c r="C215" s="80">
        <v>2932</v>
      </c>
      <c r="D215" s="82">
        <f t="shared" si="18"/>
        <v>7.0795975384840171E-2</v>
      </c>
      <c r="E215"/>
      <c r="F215" s="88">
        <v>16630.45</v>
      </c>
      <c r="G215" s="79">
        <f t="shared" si="19"/>
        <v>2.3705244885459553E-2</v>
      </c>
      <c r="I215" s="91">
        <v>566.04</v>
      </c>
      <c r="J215" s="82">
        <f t="shared" si="20"/>
        <v>3.9329545306646771E-2</v>
      </c>
      <c r="K215" s="42"/>
      <c r="L215" s="86">
        <v>298.74</v>
      </c>
      <c r="M215" s="82">
        <f t="shared" si="21"/>
        <v>1.1443661971830998E-2</v>
      </c>
      <c r="N215" s="42"/>
      <c r="O215" s="78">
        <v>1952.15</v>
      </c>
      <c r="P215" s="82">
        <f t="shared" si="22"/>
        <v>6.2828365319177903E-2</v>
      </c>
      <c r="Q215" s="42"/>
      <c r="R215" s="78">
        <v>1640.7</v>
      </c>
      <c r="S215" s="82">
        <f t="shared" si="23"/>
        <v>-4.4900188095381433E-3</v>
      </c>
    </row>
    <row r="216" spans="2:19" ht="16.5">
      <c r="B216" s="85">
        <v>44619</v>
      </c>
      <c r="C216" s="80">
        <v>2738.15</v>
      </c>
      <c r="D216" s="82">
        <f t="shared" si="18"/>
        <v>-0.12216273403436773</v>
      </c>
      <c r="E216"/>
      <c r="F216" s="88">
        <v>16245.35</v>
      </c>
      <c r="G216" s="79">
        <f t="shared" si="19"/>
        <v>-2.4795298468040183E-2</v>
      </c>
      <c r="I216" s="91">
        <v>544.21</v>
      </c>
      <c r="J216" s="82">
        <f t="shared" si="20"/>
        <v>-4.8789289156689529E-2</v>
      </c>
      <c r="K216" s="42"/>
      <c r="L216" s="86">
        <v>295.36</v>
      </c>
      <c r="M216" s="82">
        <f t="shared" si="21"/>
        <v>-1.2966180991845988E-2</v>
      </c>
      <c r="N216" s="42"/>
      <c r="O216" s="78">
        <v>1836.75</v>
      </c>
      <c r="P216" s="82">
        <f t="shared" si="22"/>
        <v>-1.8095798139634245E-2</v>
      </c>
      <c r="Q216" s="42"/>
      <c r="R216" s="78">
        <v>1648.1</v>
      </c>
      <c r="S216" s="82">
        <f t="shared" si="23"/>
        <v>-5.6881258941344881E-2</v>
      </c>
    </row>
    <row r="217" spans="2:19" ht="16.5">
      <c r="B217" s="85">
        <v>44612</v>
      </c>
      <c r="C217" s="80">
        <v>3119.2</v>
      </c>
      <c r="D217" s="82">
        <f t="shared" si="18"/>
        <v>-4.2735042735042694E-2</v>
      </c>
      <c r="E217"/>
      <c r="F217" s="88">
        <v>16658.400000000001</v>
      </c>
      <c r="G217" s="79">
        <f t="shared" si="19"/>
        <v>-3.5765760029635829E-2</v>
      </c>
      <c r="I217" s="91">
        <v>571.41999999999996</v>
      </c>
      <c r="J217" s="82">
        <f t="shared" si="20"/>
        <v>-7.3221315896262976E-2</v>
      </c>
      <c r="K217" s="42"/>
      <c r="L217" s="86">
        <v>299.24</v>
      </c>
      <c r="M217" s="82">
        <f t="shared" si="21"/>
        <v>-8.8544363558831551E-2</v>
      </c>
      <c r="N217" s="42"/>
      <c r="O217" s="78">
        <v>1870.6</v>
      </c>
      <c r="P217" s="82">
        <f t="shared" si="22"/>
        <v>-3.5226159162411785E-2</v>
      </c>
      <c r="Q217" s="42"/>
      <c r="R217" s="78">
        <v>1747.5</v>
      </c>
      <c r="S217" s="82">
        <f t="shared" si="23"/>
        <v>-7.2150891944097184E-3</v>
      </c>
    </row>
    <row r="218" spans="2:19" ht="16.5">
      <c r="B218" s="85">
        <v>44605</v>
      </c>
      <c r="C218" s="80">
        <v>3258.45</v>
      </c>
      <c r="D218" s="82">
        <f t="shared" si="18"/>
        <v>1.3105120790970926E-2</v>
      </c>
      <c r="E218"/>
      <c r="F218" s="88">
        <v>17276.3</v>
      </c>
      <c r="G218" s="79">
        <f t="shared" si="19"/>
        <v>-5.6662685794041101E-3</v>
      </c>
      <c r="I218" s="91">
        <v>614.83000000000004</v>
      </c>
      <c r="J218" s="82">
        <f t="shared" si="20"/>
        <v>2.7270220597236175E-2</v>
      </c>
      <c r="K218" s="42"/>
      <c r="L218" s="86">
        <v>328.31</v>
      </c>
      <c r="M218" s="82">
        <f t="shared" si="21"/>
        <v>-5.7238037552997945E-3</v>
      </c>
      <c r="N218" s="42"/>
      <c r="O218" s="78">
        <v>1938.9</v>
      </c>
      <c r="P218" s="82">
        <f t="shared" si="22"/>
        <v>2.5628818535269327E-2</v>
      </c>
      <c r="Q218" s="42"/>
      <c r="R218" s="78">
        <v>1760.2</v>
      </c>
      <c r="S218" s="82">
        <f t="shared" si="23"/>
        <v>-8.9700824864892836E-2</v>
      </c>
    </row>
    <row r="219" spans="2:19" ht="16.5">
      <c r="B219" s="85">
        <v>44598</v>
      </c>
      <c r="C219" s="80">
        <v>3216.3</v>
      </c>
      <c r="D219" s="82">
        <f t="shared" si="18"/>
        <v>-6.2873650224769539E-3</v>
      </c>
      <c r="E219"/>
      <c r="F219" s="88">
        <v>17374.75</v>
      </c>
      <c r="G219" s="79">
        <f t="shared" si="19"/>
        <v>-8.0810445128252084E-3</v>
      </c>
      <c r="I219" s="91">
        <v>598.29</v>
      </c>
      <c r="J219" s="82">
        <f t="shared" si="20"/>
        <v>-2.3750868695891363E-2</v>
      </c>
      <c r="K219" s="42"/>
      <c r="L219" s="86">
        <v>330.2</v>
      </c>
      <c r="M219" s="82">
        <f t="shared" si="21"/>
        <v>-7.9915292019616557E-2</v>
      </c>
      <c r="N219" s="42"/>
      <c r="O219" s="78">
        <v>1890.45</v>
      </c>
      <c r="P219" s="82">
        <f t="shared" si="22"/>
        <v>-6.3076559173697033E-3</v>
      </c>
      <c r="Q219" s="42"/>
      <c r="R219" s="78">
        <v>1933.65</v>
      </c>
      <c r="S219" s="82">
        <f t="shared" si="23"/>
        <v>-2.2199185861292992E-2</v>
      </c>
    </row>
    <row r="220" spans="2:19" ht="16.5">
      <c r="B220" s="85">
        <v>44591</v>
      </c>
      <c r="C220" s="80">
        <v>3236.65</v>
      </c>
      <c r="D220" s="82">
        <f t="shared" si="18"/>
        <v>4.043910828230235E-2</v>
      </c>
      <c r="E220"/>
      <c r="F220" s="88">
        <v>17516.3</v>
      </c>
      <c r="G220" s="79">
        <f t="shared" si="19"/>
        <v>2.4228231283567103E-2</v>
      </c>
      <c r="I220" s="91">
        <v>612.66999999999996</v>
      </c>
      <c r="J220" s="82">
        <f t="shared" si="20"/>
        <v>1.2052691059093089E-2</v>
      </c>
      <c r="K220" s="42"/>
      <c r="L220" s="86">
        <v>358.88</v>
      </c>
      <c r="M220" s="82">
        <f t="shared" si="21"/>
        <v>-5.2061596978261404E-2</v>
      </c>
      <c r="N220" s="42"/>
      <c r="O220" s="78">
        <v>1902.45</v>
      </c>
      <c r="P220" s="82">
        <f t="shared" si="22"/>
        <v>-1.6440480806514168E-2</v>
      </c>
      <c r="Q220" s="42"/>
      <c r="R220" s="78">
        <v>1977.55</v>
      </c>
      <c r="S220" s="82">
        <f t="shared" si="23"/>
        <v>9.2887947533621951E-3</v>
      </c>
    </row>
    <row r="221" spans="2:19" ht="16.5">
      <c r="B221" s="85">
        <v>44584</v>
      </c>
      <c r="C221" s="80">
        <v>3110.85</v>
      </c>
      <c r="D221" s="82">
        <f t="shared" si="18"/>
        <v>-5.0078629555552201E-2</v>
      </c>
      <c r="E221"/>
      <c r="F221" s="88">
        <v>17101.95</v>
      </c>
      <c r="G221" s="79">
        <f t="shared" si="19"/>
        <v>-2.9244230763772805E-2</v>
      </c>
      <c r="I221" s="91">
        <v>605.33000000000004</v>
      </c>
      <c r="J221" s="82">
        <f t="shared" si="20"/>
        <v>-2.496132729170979E-2</v>
      </c>
      <c r="K221" s="42"/>
      <c r="L221" s="86">
        <v>378.59</v>
      </c>
      <c r="M221" s="82">
        <f t="shared" si="21"/>
        <v>-9.2120070136872956E-3</v>
      </c>
      <c r="N221" s="42"/>
      <c r="O221" s="78">
        <v>1934.25</v>
      </c>
      <c r="P221" s="82">
        <f t="shared" si="22"/>
        <v>-1.8296706085367709E-2</v>
      </c>
      <c r="Q221" s="42"/>
      <c r="R221" s="78">
        <v>1959.35</v>
      </c>
      <c r="S221" s="82">
        <f t="shared" si="23"/>
        <v>-2.7207506888762056E-2</v>
      </c>
    </row>
    <row r="222" spans="2:19" ht="16.5">
      <c r="B222" s="85">
        <v>44577</v>
      </c>
      <c r="C222" s="80">
        <v>3274.85</v>
      </c>
      <c r="D222" s="82">
        <f t="shared" si="18"/>
        <v>-2.6616930210438761E-2</v>
      </c>
      <c r="E222"/>
      <c r="F222" s="88">
        <v>17617.150000000001</v>
      </c>
      <c r="G222" s="79">
        <f t="shared" si="19"/>
        <v>-3.4980759486736956E-2</v>
      </c>
      <c r="I222" s="91">
        <v>620.63</v>
      </c>
      <c r="J222" s="82">
        <f t="shared" si="20"/>
        <v>-3.5082985642204675E-2</v>
      </c>
      <c r="K222" s="42"/>
      <c r="L222" s="86">
        <v>382.11</v>
      </c>
      <c r="M222" s="82">
        <f t="shared" si="21"/>
        <v>-5.6844547563805081E-2</v>
      </c>
      <c r="N222" s="42"/>
      <c r="O222" s="78">
        <v>1970.3</v>
      </c>
      <c r="P222" s="82">
        <f t="shared" si="22"/>
        <v>-4.7733299659048489E-3</v>
      </c>
      <c r="Q222" s="42"/>
      <c r="R222" s="78">
        <v>2014.15</v>
      </c>
      <c r="S222" s="82">
        <f t="shared" si="23"/>
        <v>-2.796679696925819E-2</v>
      </c>
    </row>
    <row r="223" spans="2:19" ht="16.5">
      <c r="B223" s="85">
        <v>44570</v>
      </c>
      <c r="C223" s="80">
        <v>3364.4</v>
      </c>
      <c r="D223" s="82">
        <f t="shared" si="18"/>
        <v>-5.9251181388585983E-2</v>
      </c>
      <c r="E223"/>
      <c r="F223" s="88">
        <v>18255.75</v>
      </c>
      <c r="G223" s="79">
        <f t="shared" si="19"/>
        <v>2.4872703183683509E-2</v>
      </c>
      <c r="I223" s="91">
        <v>642.79</v>
      </c>
      <c r="J223" s="82">
        <f t="shared" si="20"/>
        <v>-2.4844757829040783E-2</v>
      </c>
      <c r="K223" s="42"/>
      <c r="L223" s="86">
        <v>405.14</v>
      </c>
      <c r="M223" s="82">
        <f t="shared" si="21"/>
        <v>2.0915230319524358E-2</v>
      </c>
      <c r="N223" s="42"/>
      <c r="O223" s="78">
        <v>1979.75</v>
      </c>
      <c r="P223" s="82">
        <f t="shared" si="22"/>
        <v>-1.0001250156269514E-2</v>
      </c>
      <c r="Q223" s="42"/>
      <c r="R223" s="78">
        <v>2072.1</v>
      </c>
      <c r="S223" s="82">
        <f t="shared" si="23"/>
        <v>4.6301907832535516E-3</v>
      </c>
    </row>
    <row r="224" spans="2:19" ht="16.5">
      <c r="B224" s="85">
        <v>44563</v>
      </c>
      <c r="C224" s="80">
        <v>3576.3</v>
      </c>
      <c r="D224" s="82">
        <f t="shared" si="18"/>
        <v>5.7154258856914941E-2</v>
      </c>
      <c r="E224"/>
      <c r="F224" s="88">
        <v>17812.7</v>
      </c>
      <c r="G224" s="79">
        <f t="shared" si="19"/>
        <v>2.6428989198486796E-2</v>
      </c>
      <c r="I224" s="91">
        <v>658.96</v>
      </c>
      <c r="J224" s="82">
        <f t="shared" si="20"/>
        <v>2.4315953536514053E-2</v>
      </c>
      <c r="K224" s="42"/>
      <c r="L224" s="86">
        <v>396.84</v>
      </c>
      <c r="M224" s="82">
        <f t="shared" si="21"/>
        <v>1.1340757919416911E-2</v>
      </c>
      <c r="N224" s="42"/>
      <c r="O224" s="78">
        <v>1999.75</v>
      </c>
      <c r="P224" s="82">
        <f t="shared" si="22"/>
        <v>-2.2342271871715336E-2</v>
      </c>
      <c r="Q224" s="42"/>
      <c r="R224" s="78">
        <v>2062.5500000000002</v>
      </c>
      <c r="S224" s="82">
        <f t="shared" si="23"/>
        <v>-3.2007509093042286E-2</v>
      </c>
    </row>
    <row r="225" spans="2:19" ht="16.5">
      <c r="B225" s="85">
        <v>44556</v>
      </c>
      <c r="C225" s="80">
        <v>3382.95</v>
      </c>
      <c r="D225" s="82">
        <f t="shared" si="18"/>
        <v>2.9880053580126464E-2</v>
      </c>
      <c r="E225"/>
      <c r="F225" s="88">
        <v>17354.05</v>
      </c>
      <c r="G225" s="79">
        <f t="shared" si="19"/>
        <v>2.0601337940160169E-2</v>
      </c>
      <c r="I225" s="91">
        <v>643.13</v>
      </c>
      <c r="J225" s="82">
        <f t="shared" si="20"/>
        <v>4.0797375643146769E-2</v>
      </c>
      <c r="K225" s="42"/>
      <c r="L225" s="86">
        <v>392.39</v>
      </c>
      <c r="M225" s="82">
        <f t="shared" si="21"/>
        <v>2.6742025800036595E-2</v>
      </c>
      <c r="N225" s="42"/>
      <c r="O225" s="78">
        <v>2045.45</v>
      </c>
      <c r="P225" s="82">
        <f t="shared" si="22"/>
        <v>3.6143052530267061E-2</v>
      </c>
      <c r="Q225" s="42"/>
      <c r="R225" s="78">
        <v>2130.75</v>
      </c>
      <c r="S225" s="82">
        <f t="shared" si="23"/>
        <v>0.1131572760755426</v>
      </c>
    </row>
    <row r="226" spans="2:19" ht="16.5">
      <c r="B226" s="85">
        <v>44549</v>
      </c>
      <c r="C226" s="80">
        <v>3284.8</v>
      </c>
      <c r="D226" s="82">
        <f t="shared" si="18"/>
        <v>1.2670715540894717E-2</v>
      </c>
      <c r="E226"/>
      <c r="F226" s="88">
        <v>17003.75</v>
      </c>
      <c r="G226" s="79">
        <f t="shared" si="19"/>
        <v>1.0921272637354207E-3</v>
      </c>
      <c r="I226" s="91">
        <v>617.41999999999996</v>
      </c>
      <c r="J226" s="82">
        <f t="shared" si="20"/>
        <v>-1.6528770920567822E-2</v>
      </c>
      <c r="K226" s="42"/>
      <c r="L226" s="86">
        <v>382.17</v>
      </c>
      <c r="M226" s="82">
        <f t="shared" si="21"/>
        <v>-2.3831417624521012E-2</v>
      </c>
      <c r="N226" s="42"/>
      <c r="O226" s="78">
        <v>1974.1</v>
      </c>
      <c r="P226" s="82">
        <f t="shared" si="22"/>
        <v>-8.4383946958662692E-3</v>
      </c>
      <c r="Q226" s="42"/>
      <c r="R226" s="78">
        <v>1914.15</v>
      </c>
      <c r="S226" s="82">
        <f t="shared" si="23"/>
        <v>-6.0217007069913508E-2</v>
      </c>
    </row>
    <row r="227" spans="2:19" ht="16.5">
      <c r="B227" s="85">
        <v>44542</v>
      </c>
      <c r="C227" s="80">
        <v>3243.7</v>
      </c>
      <c r="D227" s="82">
        <f t="shared" si="18"/>
        <v>-1.2015899364939187E-2</v>
      </c>
      <c r="E227"/>
      <c r="F227" s="88">
        <v>16985.2</v>
      </c>
      <c r="G227" s="79">
        <f t="shared" si="19"/>
        <v>-3.004345765305827E-2</v>
      </c>
      <c r="I227" s="91">
        <v>627.71</v>
      </c>
      <c r="J227" s="82">
        <f t="shared" si="20"/>
        <v>-1.2207921201591445E-2</v>
      </c>
      <c r="K227" s="42"/>
      <c r="L227" s="86">
        <v>391.5</v>
      </c>
      <c r="M227" s="82">
        <f t="shared" si="21"/>
        <v>-1.2037247331364909E-2</v>
      </c>
      <c r="N227" s="42"/>
      <c r="O227" s="78">
        <v>1990.9</v>
      </c>
      <c r="P227" s="82">
        <f t="shared" si="22"/>
        <v>-3.3402922755740971E-2</v>
      </c>
      <c r="Q227" s="42"/>
      <c r="R227" s="78">
        <v>2036.8</v>
      </c>
      <c r="S227" s="82">
        <f t="shared" si="23"/>
        <v>-1.6869796066127707E-2</v>
      </c>
    </row>
    <row r="228" spans="2:19" ht="16.5">
      <c r="B228" s="85">
        <v>44535</v>
      </c>
      <c r="C228" s="80">
        <v>3283.15</v>
      </c>
      <c r="D228" s="82">
        <f t="shared" si="18"/>
        <v>5.5522512819688563E-2</v>
      </c>
      <c r="E228"/>
      <c r="F228" s="88">
        <v>17511.3</v>
      </c>
      <c r="G228" s="79">
        <f t="shared" si="19"/>
        <v>1.8294207609599322E-2</v>
      </c>
      <c r="I228" s="91">
        <v>635.41999999999996</v>
      </c>
      <c r="J228" s="82">
        <f t="shared" si="20"/>
        <v>4.3634455640903694E-2</v>
      </c>
      <c r="K228" s="42"/>
      <c r="L228" s="86">
        <v>396.27</v>
      </c>
      <c r="M228" s="82">
        <f t="shared" si="21"/>
        <v>3.6725596474342925E-3</v>
      </c>
      <c r="N228" s="42"/>
      <c r="O228" s="78">
        <v>2059.6999999999998</v>
      </c>
      <c r="P228" s="82">
        <f t="shared" si="22"/>
        <v>2.6710050263445417E-4</v>
      </c>
      <c r="Q228" s="42"/>
      <c r="R228" s="78">
        <v>2071.75</v>
      </c>
      <c r="S228" s="82">
        <f t="shared" si="23"/>
        <v>-6.2004799203151051E-2</v>
      </c>
    </row>
    <row r="229" spans="2:19" ht="16.5">
      <c r="B229" s="85">
        <v>44528</v>
      </c>
      <c r="C229" s="80">
        <v>3110.45</v>
      </c>
      <c r="D229" s="82">
        <f t="shared" si="18"/>
        <v>-1.0387833667398483E-2</v>
      </c>
      <c r="E229"/>
      <c r="F229" s="88">
        <v>17196.7</v>
      </c>
      <c r="G229" s="79">
        <f t="shared" si="19"/>
        <v>9.9991483838381967E-3</v>
      </c>
      <c r="I229" s="91">
        <v>608.29</v>
      </c>
      <c r="J229" s="82">
        <f t="shared" si="20"/>
        <v>-4.3099233274722849E-2</v>
      </c>
      <c r="K229" s="42"/>
      <c r="L229" s="86">
        <v>394.82</v>
      </c>
      <c r="M229" s="82">
        <f t="shared" si="21"/>
        <v>2.579957910052233E-2</v>
      </c>
      <c r="N229" s="42"/>
      <c r="O229" s="78">
        <v>2059.15</v>
      </c>
      <c r="P229" s="82">
        <f t="shared" si="22"/>
        <v>-1.5255493651514795E-2</v>
      </c>
      <c r="Q229" s="42"/>
      <c r="R229" s="78">
        <v>2208.6999999999998</v>
      </c>
      <c r="S229" s="82">
        <f t="shared" si="23"/>
        <v>-1.1369231457857842E-2</v>
      </c>
    </row>
    <row r="230" spans="2:19" ht="16.5">
      <c r="B230" s="85">
        <v>44521</v>
      </c>
      <c r="C230" s="80">
        <v>3143.1</v>
      </c>
      <c r="D230" s="82">
        <f t="shared" si="18"/>
        <v>-2.5954103847405374E-2</v>
      </c>
      <c r="E230"/>
      <c r="F230" s="88">
        <v>17026.45</v>
      </c>
      <c r="G230" s="79">
        <f t="shared" si="19"/>
        <v>-4.1562528145546174E-2</v>
      </c>
      <c r="I230" s="91">
        <v>635.08000000000004</v>
      </c>
      <c r="J230" s="82">
        <f t="shared" si="20"/>
        <v>-3.3613357478043594E-2</v>
      </c>
      <c r="K230" s="42"/>
      <c r="L230" s="86">
        <v>384.89</v>
      </c>
      <c r="M230" s="82">
        <f t="shared" si="21"/>
        <v>-1.8613427165404595E-2</v>
      </c>
      <c r="N230" s="42"/>
      <c r="O230" s="78">
        <v>2091.0500000000002</v>
      </c>
      <c r="P230" s="82">
        <f t="shared" si="22"/>
        <v>-5.103244837758103E-2</v>
      </c>
      <c r="Q230" s="42"/>
      <c r="R230" s="78">
        <v>2234.1</v>
      </c>
      <c r="S230" s="82">
        <f t="shared" si="23"/>
        <v>-2.8947711566045031E-2</v>
      </c>
    </row>
    <row r="231" spans="2:19" ht="16.5">
      <c r="B231" s="85">
        <v>44514</v>
      </c>
      <c r="C231" s="80">
        <v>3226.85</v>
      </c>
      <c r="D231" s="82">
        <f t="shared" si="18"/>
        <v>3.3286368439591429E-2</v>
      </c>
      <c r="E231"/>
      <c r="F231" s="88">
        <v>17764.8</v>
      </c>
      <c r="G231" s="79">
        <f t="shared" si="19"/>
        <v>-1.8668434353896535E-2</v>
      </c>
      <c r="I231" s="91">
        <v>656.79</v>
      </c>
      <c r="J231" s="82">
        <f t="shared" si="20"/>
        <v>-8.0220618698238644E-3</v>
      </c>
      <c r="K231" s="42"/>
      <c r="L231" s="86">
        <v>392.19</v>
      </c>
      <c r="M231" s="82">
        <f t="shared" si="21"/>
        <v>-9.4711319896954027E-3</v>
      </c>
      <c r="N231" s="42"/>
      <c r="O231" s="78">
        <v>2203.5</v>
      </c>
      <c r="P231" s="82">
        <f t="shared" si="22"/>
        <v>4.135160680529304E-2</v>
      </c>
      <c r="Q231" s="42"/>
      <c r="R231" s="78">
        <v>2300.6999999999998</v>
      </c>
      <c r="S231" s="82">
        <f t="shared" si="23"/>
        <v>8.7005698873277026E-4</v>
      </c>
    </row>
    <row r="232" spans="2:19" ht="16.5">
      <c r="B232" s="85">
        <v>44507</v>
      </c>
      <c r="C232" s="80">
        <v>3122.9</v>
      </c>
      <c r="D232" s="82">
        <f t="shared" si="18"/>
        <v>-1.1505895386563214E-2</v>
      </c>
      <c r="E232"/>
      <c r="F232" s="88">
        <v>18102.75</v>
      </c>
      <c r="G232" s="79">
        <f t="shared" si="19"/>
        <v>1.0378527415610073E-2</v>
      </c>
      <c r="I232" s="91">
        <v>662.08</v>
      </c>
      <c r="J232" s="82">
        <f t="shared" si="20"/>
        <v>4.0455162544375582E-2</v>
      </c>
      <c r="K232" s="42"/>
      <c r="L232" s="86">
        <v>395.94</v>
      </c>
      <c r="M232" s="82">
        <f t="shared" si="21"/>
        <v>3.7741783299260812E-2</v>
      </c>
      <c r="N232" s="42"/>
      <c r="O232" s="78">
        <v>2116</v>
      </c>
      <c r="P232" s="82">
        <f t="shared" si="22"/>
        <v>-4.6100291654906922E-3</v>
      </c>
      <c r="Q232" s="42"/>
      <c r="R232" s="78">
        <v>2298.6999999999998</v>
      </c>
      <c r="S232" s="82">
        <f t="shared" si="23"/>
        <v>-2.1767346851926717E-2</v>
      </c>
    </row>
    <row r="233" spans="2:19" ht="16.5">
      <c r="B233" s="85">
        <v>44500</v>
      </c>
      <c r="C233" s="80">
        <v>3159.25</v>
      </c>
      <c r="D233" s="82">
        <f t="shared" si="18"/>
        <v>1.9080029676462162E-2</v>
      </c>
      <c r="E233"/>
      <c r="F233" s="88">
        <v>17916.8</v>
      </c>
      <c r="G233" s="79">
        <f t="shared" si="19"/>
        <v>1.3872502001793796E-2</v>
      </c>
      <c r="I233" s="91">
        <v>635.83000000000004</v>
      </c>
      <c r="J233" s="82">
        <f t="shared" si="20"/>
        <v>2.8572232772653156E-2</v>
      </c>
      <c r="K233" s="42"/>
      <c r="L233" s="86">
        <v>381.54</v>
      </c>
      <c r="M233" s="82">
        <f t="shared" si="21"/>
        <v>5.4677134011499318E-2</v>
      </c>
      <c r="N233" s="42"/>
      <c r="O233" s="78">
        <v>2125.8000000000002</v>
      </c>
      <c r="P233" s="82">
        <f t="shared" si="22"/>
        <v>1.1852063401399437E-2</v>
      </c>
      <c r="Q233" s="42"/>
      <c r="R233" s="78">
        <v>2349.85</v>
      </c>
      <c r="S233" s="82">
        <f t="shared" si="23"/>
        <v>-1.6943125483715793E-2</v>
      </c>
    </row>
    <row r="234" spans="2:19" ht="16.5">
      <c r="B234" s="85">
        <v>44493</v>
      </c>
      <c r="C234" s="80">
        <v>3100.1</v>
      </c>
      <c r="D234" s="82">
        <f t="shared" si="18"/>
        <v>3.9464860515021405E-2</v>
      </c>
      <c r="E234"/>
      <c r="F234" s="88">
        <v>17671.650000000001</v>
      </c>
      <c r="G234" s="79">
        <f t="shared" si="19"/>
        <v>-2.4468807445804264E-2</v>
      </c>
      <c r="I234" s="91">
        <v>617.91999999999996</v>
      </c>
      <c r="J234" s="82">
        <f t="shared" si="20"/>
        <v>6.8364953713685771E-3</v>
      </c>
      <c r="K234" s="42"/>
      <c r="L234" s="86">
        <v>361.76</v>
      </c>
      <c r="M234" s="82">
        <f t="shared" si="21"/>
        <v>-8.7409234141663239E-3</v>
      </c>
      <c r="N234" s="42"/>
      <c r="O234" s="78">
        <v>2100.9</v>
      </c>
      <c r="P234" s="82">
        <f t="shared" si="22"/>
        <v>-2.7923655292076299E-2</v>
      </c>
      <c r="Q234" s="42"/>
      <c r="R234" s="78">
        <v>2390.35</v>
      </c>
      <c r="S234" s="82">
        <f t="shared" si="23"/>
        <v>-1.2578486450760207E-2</v>
      </c>
    </row>
    <row r="235" spans="2:19" ht="16.5">
      <c r="B235" s="85">
        <v>44486</v>
      </c>
      <c r="C235" s="80">
        <v>2982.4</v>
      </c>
      <c r="D235" s="82">
        <f t="shared" si="18"/>
        <v>-9.5639517253926831E-2</v>
      </c>
      <c r="E235"/>
      <c r="F235" s="88">
        <v>18114.900000000001</v>
      </c>
      <c r="G235" s="79">
        <f t="shared" si="19"/>
        <v>-1.2195620700655052E-2</v>
      </c>
      <c r="I235" s="91">
        <v>613.71</v>
      </c>
      <c r="J235" s="82">
        <f t="shared" si="20"/>
        <v>-0.12971327388146492</v>
      </c>
      <c r="K235" s="42"/>
      <c r="L235" s="86">
        <v>364.95</v>
      </c>
      <c r="M235" s="82">
        <f t="shared" si="21"/>
        <v>-9.4439343936875031E-2</v>
      </c>
      <c r="N235" s="42"/>
      <c r="O235" s="78">
        <v>2161.25</v>
      </c>
      <c r="P235" s="82">
        <f t="shared" si="22"/>
        <v>-2.6968012065821778E-2</v>
      </c>
      <c r="Q235" s="42"/>
      <c r="R235" s="78">
        <v>2420.8000000000002</v>
      </c>
      <c r="S235" s="82">
        <f t="shared" si="23"/>
        <v>-3.4768740031897893E-2</v>
      </c>
    </row>
    <row r="236" spans="2:19" ht="16.5">
      <c r="B236" s="85">
        <v>44479</v>
      </c>
      <c r="C236" s="80">
        <v>3297.8</v>
      </c>
      <c r="D236" s="82">
        <f t="shared" si="18"/>
        <v>-2.7518219480480166E-3</v>
      </c>
      <c r="E236"/>
      <c r="F236" s="88">
        <v>18338.55</v>
      </c>
      <c r="G236" s="79">
        <f t="shared" si="19"/>
        <v>2.4774799946354342E-2</v>
      </c>
      <c r="I236" s="91">
        <v>698.71</v>
      </c>
      <c r="J236" s="82">
        <f t="shared" si="20"/>
        <v>9.7076272714693122E-3</v>
      </c>
      <c r="K236" s="42"/>
      <c r="L236" s="86">
        <v>403.01</v>
      </c>
      <c r="M236" s="82">
        <f t="shared" si="21"/>
        <v>-3.8781691988456157E-2</v>
      </c>
      <c r="N236" s="42"/>
      <c r="O236" s="78">
        <v>2221.15</v>
      </c>
      <c r="P236" s="82">
        <f t="shared" si="22"/>
        <v>-7.9944619369822778E-3</v>
      </c>
      <c r="Q236" s="42"/>
      <c r="R236" s="78">
        <v>2508</v>
      </c>
      <c r="S236" s="82">
        <f t="shared" si="23"/>
        <v>-9.9869735128094161E-3</v>
      </c>
    </row>
    <row r="237" spans="2:19" ht="16.5">
      <c r="B237" s="85">
        <v>44472</v>
      </c>
      <c r="C237" s="80">
        <v>3306.9</v>
      </c>
      <c r="D237" s="82">
        <f t="shared" si="18"/>
        <v>4.0609216923391589E-2</v>
      </c>
      <c r="E237"/>
      <c r="F237" s="88">
        <v>17895.2</v>
      </c>
      <c r="G237" s="79">
        <f t="shared" si="19"/>
        <v>2.0713493288006868E-2</v>
      </c>
      <c r="I237" s="91">
        <v>691.96</v>
      </c>
      <c r="J237" s="82">
        <f t="shared" si="20"/>
        <v>2.4326690184594761E-2</v>
      </c>
      <c r="K237" s="42"/>
      <c r="L237" s="86">
        <v>419.27</v>
      </c>
      <c r="M237" s="82">
        <f t="shared" si="21"/>
        <v>-8.5601456643571439E-3</v>
      </c>
      <c r="N237" s="42"/>
      <c r="O237" s="78">
        <v>2239.0500000000002</v>
      </c>
      <c r="P237" s="82">
        <f t="shared" si="22"/>
        <v>-4.7118440646322091E-3</v>
      </c>
      <c r="Q237" s="42"/>
      <c r="R237" s="78">
        <v>2533.3000000000002</v>
      </c>
      <c r="S237" s="82">
        <f t="shared" si="23"/>
        <v>2.7708506511499031E-3</v>
      </c>
    </row>
    <row r="238" spans="2:19" ht="16.5">
      <c r="B238" s="85">
        <v>44465</v>
      </c>
      <c r="C238" s="80">
        <v>3177.85</v>
      </c>
      <c r="D238" s="82">
        <f t="shared" si="18"/>
        <v>-7.8510120048715382E-2</v>
      </c>
      <c r="E238"/>
      <c r="F238" s="88">
        <v>17532.05</v>
      </c>
      <c r="G238" s="79">
        <f t="shared" si="19"/>
        <v>-1.7988371832500683E-2</v>
      </c>
      <c r="I238" s="91">
        <v>675.33</v>
      </c>
      <c r="J238" s="82">
        <f t="shared" si="20"/>
        <v>-3.5993153933393959E-2</v>
      </c>
      <c r="K238" s="42"/>
      <c r="L238" s="86">
        <v>422.89</v>
      </c>
      <c r="M238" s="82">
        <f t="shared" si="21"/>
        <v>1.3517076093469083E-2</v>
      </c>
      <c r="N238" s="42"/>
      <c r="O238" s="78">
        <v>2249.65</v>
      </c>
      <c r="P238" s="82">
        <f t="shared" si="22"/>
        <v>1.9301782922906074E-2</v>
      </c>
      <c r="Q238" s="42"/>
      <c r="R238" s="78">
        <v>2526.3000000000002</v>
      </c>
      <c r="S238" s="82">
        <f t="shared" si="23"/>
        <v>-2.3784222424019785E-2</v>
      </c>
    </row>
    <row r="239" spans="2:19" ht="16.5">
      <c r="B239" s="85">
        <v>44458</v>
      </c>
      <c r="C239" s="80">
        <v>3448.6</v>
      </c>
      <c r="D239" s="82">
        <f t="shared" si="18"/>
        <v>4.406533355535025E-2</v>
      </c>
      <c r="E239"/>
      <c r="F239" s="88">
        <v>17853.2</v>
      </c>
      <c r="G239" s="79">
        <f t="shared" si="19"/>
        <v>1.5242974896432449E-2</v>
      </c>
      <c r="I239" s="91">
        <v>700.08</v>
      </c>
      <c r="J239" s="82">
        <f t="shared" si="20"/>
        <v>2.5739826823143776E-2</v>
      </c>
      <c r="K239" s="42"/>
      <c r="L239" s="86">
        <v>417.25</v>
      </c>
      <c r="M239" s="82">
        <f t="shared" si="21"/>
        <v>2.3951508012466594E-2</v>
      </c>
      <c r="N239" s="42"/>
      <c r="O239" s="78">
        <v>2207.0500000000002</v>
      </c>
      <c r="P239" s="82">
        <f t="shared" si="22"/>
        <v>-1.8542387445446007E-3</v>
      </c>
      <c r="Q239" s="42"/>
      <c r="R239" s="78">
        <v>2587.85</v>
      </c>
      <c r="S239" s="82">
        <f t="shared" si="23"/>
        <v>-6.7169478189110787E-3</v>
      </c>
    </row>
    <row r="240" spans="2:19" ht="16.5">
      <c r="B240" s="85">
        <v>44451</v>
      </c>
      <c r="C240" s="80">
        <v>3303.05</v>
      </c>
      <c r="D240" s="82">
        <f t="shared" si="18"/>
        <v>-1.2939471364322275E-2</v>
      </c>
      <c r="E240"/>
      <c r="F240" s="88">
        <v>17585.150000000001</v>
      </c>
      <c r="G240" s="79">
        <f t="shared" si="19"/>
        <v>1.2430012809994784E-2</v>
      </c>
      <c r="I240" s="91">
        <v>682.29</v>
      </c>
      <c r="J240" s="82">
        <f t="shared" si="20"/>
        <v>-2.1517119594429597E-2</v>
      </c>
      <c r="K240" s="42"/>
      <c r="L240" s="86">
        <v>407.49</v>
      </c>
      <c r="M240" s="82">
        <f t="shared" si="21"/>
        <v>4.4864052062021376E-3</v>
      </c>
      <c r="N240" s="42"/>
      <c r="O240" s="78">
        <v>2211.15</v>
      </c>
      <c r="P240" s="82">
        <f t="shared" si="22"/>
        <v>6.9676890497984978E-3</v>
      </c>
      <c r="Q240" s="42"/>
      <c r="R240" s="78">
        <v>2605.35</v>
      </c>
      <c r="S240" s="82">
        <f t="shared" si="23"/>
        <v>5.8683860008106326E-3</v>
      </c>
    </row>
    <row r="241" spans="2:19" ht="16.5">
      <c r="B241" s="85">
        <v>44444</v>
      </c>
      <c r="C241" s="80">
        <v>3346.35</v>
      </c>
      <c r="D241" s="82">
        <f t="shared" si="18"/>
        <v>2.2612914819695185E-3</v>
      </c>
      <c r="E241"/>
      <c r="F241" s="88">
        <v>17369.25</v>
      </c>
      <c r="G241" s="79">
        <f t="shared" si="19"/>
        <v>2.6351335750076643E-3</v>
      </c>
      <c r="I241" s="91">
        <v>697.13</v>
      </c>
      <c r="J241" s="82">
        <f t="shared" si="20"/>
        <v>6.2449840349484463E-3</v>
      </c>
      <c r="K241" s="42"/>
      <c r="L241" s="86">
        <v>405.67</v>
      </c>
      <c r="M241" s="82">
        <f t="shared" si="21"/>
        <v>-1.3472435008876182E-2</v>
      </c>
      <c r="N241" s="42"/>
      <c r="O241" s="78">
        <v>2195.85</v>
      </c>
      <c r="P241" s="82">
        <f t="shared" si="22"/>
        <v>-2.6057837310387688E-2</v>
      </c>
      <c r="Q241" s="42"/>
      <c r="R241" s="78">
        <v>2590.15</v>
      </c>
      <c r="S241" s="82">
        <f t="shared" si="23"/>
        <v>-1.3670722187315576E-2</v>
      </c>
    </row>
    <row r="242" spans="2:19" ht="16.5">
      <c r="B242" s="85">
        <v>44437</v>
      </c>
      <c r="C242" s="80">
        <v>3338.8</v>
      </c>
      <c r="D242" s="82">
        <f t="shared" si="18"/>
        <v>9.9446786090621631E-2</v>
      </c>
      <c r="E242"/>
      <c r="F242" s="88">
        <v>17323.599999999999</v>
      </c>
      <c r="G242" s="79">
        <f t="shared" si="19"/>
        <v>3.7018413428153929E-2</v>
      </c>
      <c r="I242" s="91">
        <v>692.79</v>
      </c>
      <c r="J242" s="82">
        <f t="shared" si="20"/>
        <v>5.6274910219820173E-2</v>
      </c>
      <c r="K242" s="42"/>
      <c r="L242" s="86">
        <v>411.21</v>
      </c>
      <c r="M242" s="82">
        <f t="shared" si="21"/>
        <v>-4.165354902768037E-3</v>
      </c>
      <c r="N242" s="42"/>
      <c r="O242" s="78">
        <v>2254.6</v>
      </c>
      <c r="P242" s="82">
        <f t="shared" si="22"/>
        <v>2.4259494821006866E-2</v>
      </c>
      <c r="Q242" s="42"/>
      <c r="R242" s="78">
        <v>2626.05</v>
      </c>
      <c r="S242" s="82">
        <f t="shared" si="23"/>
        <v>1.3684088628117097E-2</v>
      </c>
    </row>
    <row r="243" spans="2:19" ht="16.5">
      <c r="B243" s="85">
        <v>44430</v>
      </c>
      <c r="C243" s="80">
        <v>3036.8</v>
      </c>
      <c r="D243" s="82">
        <f t="shared" si="18"/>
        <v>-2.4462326731877981E-2</v>
      </c>
      <c r="E243"/>
      <c r="F243" s="88">
        <v>16705.2</v>
      </c>
      <c r="G243" s="79">
        <f t="shared" si="19"/>
        <v>1.5482812072581398E-2</v>
      </c>
      <c r="I243" s="91">
        <v>654.88</v>
      </c>
      <c r="J243" s="82">
        <f t="shared" si="20"/>
        <v>-4.1618159295144147E-2</v>
      </c>
      <c r="K243" s="42"/>
      <c r="L243" s="86">
        <v>412.93</v>
      </c>
      <c r="M243" s="82">
        <f t="shared" si="21"/>
        <v>-5.3714230658059581E-3</v>
      </c>
      <c r="N243" s="42"/>
      <c r="O243" s="78">
        <v>2201.1999999999998</v>
      </c>
      <c r="P243" s="82">
        <f t="shared" si="22"/>
        <v>-5.9609826589596127E-3</v>
      </c>
      <c r="Q243" s="42"/>
      <c r="R243" s="78">
        <v>2590.6</v>
      </c>
      <c r="S243" s="82">
        <f t="shared" si="23"/>
        <v>6.4775996711878392E-2</v>
      </c>
    </row>
    <row r="244" spans="2:19" ht="16.5">
      <c r="B244" s="85">
        <v>44423</v>
      </c>
      <c r="C244" s="80">
        <v>3112.95</v>
      </c>
      <c r="D244" s="82">
        <f t="shared" si="18"/>
        <v>4.1573259276608487E-2</v>
      </c>
      <c r="E244"/>
      <c r="F244" s="88">
        <v>16450.5</v>
      </c>
      <c r="G244" s="79">
        <f t="shared" si="19"/>
        <v>-4.7552498321141723E-3</v>
      </c>
      <c r="I244" s="91">
        <v>682.71</v>
      </c>
      <c r="J244" s="82">
        <f t="shared" si="20"/>
        <v>9.9362693446141351E-3</v>
      </c>
      <c r="K244" s="42"/>
      <c r="L244" s="86">
        <v>415.16</v>
      </c>
      <c r="M244" s="82">
        <f t="shared" si="21"/>
        <v>-4.1258875455766342E-3</v>
      </c>
      <c r="N244" s="42"/>
      <c r="O244" s="78">
        <v>2214.4</v>
      </c>
      <c r="P244" s="82">
        <f t="shared" si="22"/>
        <v>-2.0280319077020659E-3</v>
      </c>
      <c r="Q244" s="42"/>
      <c r="R244" s="78">
        <v>2433</v>
      </c>
      <c r="S244" s="82">
        <f t="shared" si="23"/>
        <v>4.4794913609809139E-3</v>
      </c>
    </row>
    <row r="245" spans="2:19" ht="16.5">
      <c r="B245" s="85">
        <v>44416</v>
      </c>
      <c r="C245" s="80">
        <v>2988.7</v>
      </c>
      <c r="D245" s="82">
        <f t="shared" si="18"/>
        <v>7.5005477928162811E-3</v>
      </c>
      <c r="E245"/>
      <c r="F245" s="88">
        <v>16529.099999999999</v>
      </c>
      <c r="G245" s="79">
        <f t="shared" si="19"/>
        <v>1.7914547178874418E-2</v>
      </c>
      <c r="I245" s="91">
        <v>675.96</v>
      </c>
      <c r="J245" s="82">
        <f t="shared" si="20"/>
        <v>-2.0311287729335294E-2</v>
      </c>
      <c r="K245" s="42"/>
      <c r="L245" s="86">
        <v>416.88</v>
      </c>
      <c r="M245" s="82">
        <f t="shared" si="21"/>
        <v>-1.320835108649332E-2</v>
      </c>
      <c r="N245" s="42"/>
      <c r="O245" s="78">
        <v>2218.9</v>
      </c>
      <c r="P245" s="82">
        <f t="shared" si="22"/>
        <v>-2.9880254319157862E-3</v>
      </c>
      <c r="Q245" s="42"/>
      <c r="R245" s="78">
        <v>2422.15</v>
      </c>
      <c r="S245" s="82">
        <f t="shared" si="23"/>
        <v>-7.7065233958238055E-2</v>
      </c>
    </row>
    <row r="246" spans="2:19" ht="16.5">
      <c r="B246" s="85">
        <v>44409</v>
      </c>
      <c r="C246" s="80">
        <v>2966.45</v>
      </c>
      <c r="D246" s="82">
        <f t="shared" si="18"/>
        <v>2.7041187108114428E-3</v>
      </c>
      <c r="E246"/>
      <c r="F246" s="88">
        <v>16238.2</v>
      </c>
      <c r="G246" s="79">
        <f t="shared" si="19"/>
        <v>3.0143278109249216E-2</v>
      </c>
      <c r="I246" s="91">
        <v>689.83</v>
      </c>
      <c r="J246" s="82">
        <f t="shared" si="20"/>
        <v>-1.8854800763629574E-2</v>
      </c>
      <c r="K246" s="42"/>
      <c r="L246" s="86">
        <v>422.46</v>
      </c>
      <c r="M246" s="82">
        <f t="shared" si="21"/>
        <v>1.6848794107735987E-2</v>
      </c>
      <c r="N246" s="42"/>
      <c r="O246" s="78">
        <v>2225.5500000000002</v>
      </c>
      <c r="P246" s="82">
        <f t="shared" si="22"/>
        <v>-2.0336744800264039E-2</v>
      </c>
      <c r="Q246" s="42"/>
      <c r="R246" s="78">
        <v>2624.4</v>
      </c>
      <c r="S246" s="82">
        <f t="shared" si="23"/>
        <v>7.4085447775518176E-3</v>
      </c>
    </row>
    <row r="247" spans="2:19" ht="16.5">
      <c r="B247" s="85">
        <v>44402</v>
      </c>
      <c r="C247" s="80">
        <v>2958.45</v>
      </c>
      <c r="D247" s="82">
        <f t="shared" si="18"/>
        <v>-4.0632346980137846E-2</v>
      </c>
      <c r="E247"/>
      <c r="F247" s="88">
        <v>15763.05</v>
      </c>
      <c r="G247" s="79">
        <f t="shared" si="19"/>
        <v>-5.8652690928698847E-3</v>
      </c>
      <c r="I247" s="91">
        <v>702.96</v>
      </c>
      <c r="J247" s="82">
        <f t="shared" si="20"/>
        <v>-1.2609366694197136E-2</v>
      </c>
      <c r="K247" s="42"/>
      <c r="L247" s="86">
        <v>415.46</v>
      </c>
      <c r="M247" s="82">
        <f t="shared" si="21"/>
        <v>3.042008691453324E-3</v>
      </c>
      <c r="N247" s="42"/>
      <c r="O247" s="78">
        <v>2271.75</v>
      </c>
      <c r="P247" s="82">
        <f t="shared" si="22"/>
        <v>-7.471000720886023E-3</v>
      </c>
      <c r="Q247" s="42"/>
      <c r="R247" s="78">
        <v>2605.1</v>
      </c>
      <c r="S247" s="82">
        <f t="shared" si="23"/>
        <v>2.1157101092474928E-3</v>
      </c>
    </row>
    <row r="248" spans="2:19" ht="16.5">
      <c r="B248" s="85">
        <v>44395</v>
      </c>
      <c r="C248" s="80">
        <v>3083.75</v>
      </c>
      <c r="D248" s="82">
        <f t="shared" si="18"/>
        <v>3.1596025825443963E-2</v>
      </c>
      <c r="E248"/>
      <c r="F248" s="88">
        <v>15856.05</v>
      </c>
      <c r="G248" s="79">
        <f t="shared" si="19"/>
        <v>-4.2296243264630107E-3</v>
      </c>
      <c r="I248" s="91">
        <v>711.88</v>
      </c>
      <c r="J248" s="82">
        <f t="shared" si="20"/>
        <v>1.2253790906583812E-2</v>
      </c>
      <c r="K248" s="42"/>
      <c r="L248" s="86">
        <v>414.2</v>
      </c>
      <c r="M248" s="82">
        <f t="shared" si="21"/>
        <v>4.0259185774920159E-2</v>
      </c>
      <c r="N248" s="42"/>
      <c r="O248" s="78">
        <v>2288.85</v>
      </c>
      <c r="P248" s="82">
        <f t="shared" si="22"/>
        <v>3.1995792334158502E-3</v>
      </c>
      <c r="Q248" s="42"/>
      <c r="R248" s="78">
        <v>2599.6</v>
      </c>
      <c r="S248" s="82">
        <f t="shared" si="23"/>
        <v>-4.0991456920661529E-3</v>
      </c>
    </row>
    <row r="249" spans="2:19" ht="16.5">
      <c r="B249" s="85">
        <v>44388</v>
      </c>
      <c r="C249" s="80">
        <v>2989.3</v>
      </c>
      <c r="D249" s="82">
        <f t="shared" si="18"/>
        <v>-7.0750016607984412E-3</v>
      </c>
      <c r="E249"/>
      <c r="F249" s="88">
        <v>15923.4</v>
      </c>
      <c r="G249" s="79">
        <f t="shared" si="19"/>
        <v>1.4888653775064098E-2</v>
      </c>
      <c r="I249" s="91">
        <v>703.21</v>
      </c>
      <c r="J249" s="82">
        <f t="shared" si="20"/>
        <v>-2.9858598431729719E-4</v>
      </c>
      <c r="K249" s="42"/>
      <c r="L249" s="86">
        <v>398.17</v>
      </c>
      <c r="M249" s="82">
        <f t="shared" si="21"/>
        <v>-4.7242913562964839E-3</v>
      </c>
      <c r="N249" s="42"/>
      <c r="O249" s="78">
        <v>2281.5500000000002</v>
      </c>
      <c r="P249" s="82">
        <f t="shared" si="22"/>
        <v>-6.0771073840121259E-3</v>
      </c>
      <c r="Q249" s="42"/>
      <c r="R249" s="78">
        <v>2610.3000000000002</v>
      </c>
      <c r="S249" s="82">
        <f t="shared" si="23"/>
        <v>3.6265110462692984E-2</v>
      </c>
    </row>
    <row r="250" spans="2:19" ht="16.5">
      <c r="B250" s="85">
        <v>44381</v>
      </c>
      <c r="C250" s="80">
        <v>3010.6</v>
      </c>
      <c r="D250" s="82">
        <f t="shared" si="18"/>
        <v>1.8635607321131342E-3</v>
      </c>
      <c r="E250"/>
      <c r="F250" s="88">
        <v>15689.8</v>
      </c>
      <c r="G250" s="79">
        <f t="shared" si="19"/>
        <v>-2.0607802979227818E-3</v>
      </c>
      <c r="I250" s="91">
        <v>703.42</v>
      </c>
      <c r="J250" s="82">
        <f t="shared" si="20"/>
        <v>4.5071007667526641E-2</v>
      </c>
      <c r="K250" s="42"/>
      <c r="L250" s="86">
        <v>400.06</v>
      </c>
      <c r="M250" s="82">
        <f t="shared" si="21"/>
        <v>2.6479191255708967E-2</v>
      </c>
      <c r="N250" s="42"/>
      <c r="O250" s="78">
        <v>2295.5</v>
      </c>
      <c r="P250" s="82">
        <f t="shared" si="22"/>
        <v>-2.2588405611973394E-2</v>
      </c>
      <c r="Q250" s="42"/>
      <c r="R250" s="78">
        <v>2518.9499999999998</v>
      </c>
      <c r="S250" s="82">
        <f t="shared" si="23"/>
        <v>-1.8426058012364077E-3</v>
      </c>
    </row>
    <row r="251" spans="2:19" ht="16.5">
      <c r="B251" s="85">
        <v>44374</v>
      </c>
      <c r="C251" s="80">
        <v>3005</v>
      </c>
      <c r="D251" s="82">
        <f t="shared" si="18"/>
        <v>3.6619061886211668E-4</v>
      </c>
      <c r="E251"/>
      <c r="F251" s="88">
        <v>15722.2</v>
      </c>
      <c r="G251" s="79">
        <f t="shared" si="19"/>
        <v>-8.7104004640502497E-3</v>
      </c>
      <c r="I251" s="91">
        <v>672.42</v>
      </c>
      <c r="J251" s="82">
        <f t="shared" si="20"/>
        <v>1.0564455313615698E-3</v>
      </c>
      <c r="K251" s="42"/>
      <c r="L251" s="86">
        <v>389.74</v>
      </c>
      <c r="M251" s="82">
        <f t="shared" si="21"/>
        <v>-3.2989796179320185E-3</v>
      </c>
      <c r="N251" s="42"/>
      <c r="O251" s="78">
        <v>2348.5500000000002</v>
      </c>
      <c r="P251" s="82">
        <f t="shared" si="22"/>
        <v>1.640231103801959E-2</v>
      </c>
      <c r="Q251" s="42"/>
      <c r="R251" s="78">
        <v>2523.6</v>
      </c>
      <c r="S251" s="82">
        <f t="shared" si="23"/>
        <v>2.0250148898153242E-3</v>
      </c>
    </row>
    <row r="252" spans="2:19" ht="16.5">
      <c r="B252" s="85">
        <v>44367</v>
      </c>
      <c r="C252" s="80">
        <v>3003.9</v>
      </c>
      <c r="D252" s="82">
        <f t="shared" si="18"/>
        <v>-1.4209766342872077E-2</v>
      </c>
      <c r="E252"/>
      <c r="F252" s="88">
        <v>15860.35</v>
      </c>
      <c r="G252" s="79">
        <f t="shared" si="19"/>
        <v>1.1285854106424908E-2</v>
      </c>
      <c r="I252" s="91">
        <v>671.71</v>
      </c>
      <c r="J252" s="82">
        <f t="shared" si="20"/>
        <v>-2.3962138172713681E-2</v>
      </c>
      <c r="K252" s="42"/>
      <c r="L252" s="86">
        <v>391.03</v>
      </c>
      <c r="M252" s="82">
        <f t="shared" si="21"/>
        <v>2.5679362081628243E-2</v>
      </c>
      <c r="N252" s="42"/>
      <c r="O252" s="78">
        <v>2310.65</v>
      </c>
      <c r="P252" s="82">
        <f t="shared" si="22"/>
        <v>3.521426491342039E-2</v>
      </c>
      <c r="Q252" s="42"/>
      <c r="R252" s="78">
        <v>2518.5</v>
      </c>
      <c r="S252" s="82">
        <f t="shared" si="23"/>
        <v>-2.4819948888716747E-2</v>
      </c>
    </row>
    <row r="253" spans="2:19" ht="16.5">
      <c r="B253" s="85">
        <v>44360</v>
      </c>
      <c r="C253" s="80">
        <v>3047.2</v>
      </c>
      <c r="D253" s="82">
        <f t="shared" si="18"/>
        <v>3.0765327695560174E-2</v>
      </c>
      <c r="E253"/>
      <c r="F253" s="88">
        <v>15683.35</v>
      </c>
      <c r="G253" s="79">
        <f t="shared" si="19"/>
        <v>-7.3420741992550331E-3</v>
      </c>
      <c r="I253" s="91">
        <v>688</v>
      </c>
      <c r="J253" s="82">
        <f t="shared" si="20"/>
        <v>2.390259043774301E-2</v>
      </c>
      <c r="K253" s="42"/>
      <c r="L253" s="86">
        <v>381.24</v>
      </c>
      <c r="M253" s="82">
        <f t="shared" si="21"/>
        <v>-1.0999273632873341E-2</v>
      </c>
      <c r="N253" s="42"/>
      <c r="O253" s="78">
        <v>2232.0500000000002</v>
      </c>
      <c r="P253" s="82">
        <f t="shared" si="22"/>
        <v>-2.6962814420855241E-2</v>
      </c>
      <c r="Q253" s="42"/>
      <c r="R253" s="78">
        <v>2582.6</v>
      </c>
      <c r="S253" s="82">
        <f t="shared" si="23"/>
        <v>-1.9439592983522047E-2</v>
      </c>
    </row>
    <row r="254" spans="2:19" ht="16.5">
      <c r="B254" s="85">
        <v>44353</v>
      </c>
      <c r="C254" s="80">
        <v>2956.25</v>
      </c>
      <c r="D254" s="82">
        <f t="shared" si="18"/>
        <v>1.0718315156073688E-2</v>
      </c>
      <c r="E254"/>
      <c r="F254" s="88">
        <v>15799.35</v>
      </c>
      <c r="G254" s="79">
        <f t="shared" si="19"/>
        <v>8.238541184728998E-3</v>
      </c>
      <c r="I254" s="91">
        <v>671.75</v>
      </c>
      <c r="J254" s="82">
        <f t="shared" si="20"/>
        <v>1.2161482244559615E-2</v>
      </c>
      <c r="K254" s="42"/>
      <c r="L254" s="86">
        <v>385.48</v>
      </c>
      <c r="M254" s="82">
        <f t="shared" si="21"/>
        <v>5.4251434533125753E-3</v>
      </c>
      <c r="N254" s="42"/>
      <c r="O254" s="78">
        <v>2293.9</v>
      </c>
      <c r="P254" s="82">
        <f t="shared" si="22"/>
        <v>1.3050102678472841E-2</v>
      </c>
      <c r="Q254" s="42"/>
      <c r="R254" s="78">
        <v>2633.8</v>
      </c>
      <c r="S254" s="82">
        <f t="shared" si="23"/>
        <v>6.030595813204509E-2</v>
      </c>
    </row>
    <row r="255" spans="2:19" ht="16.5">
      <c r="B255" s="85">
        <v>44346</v>
      </c>
      <c r="C255" s="80">
        <v>2924.9</v>
      </c>
      <c r="D255" s="82">
        <f t="shared" si="18"/>
        <v>-5.3728704050055587E-3</v>
      </c>
      <c r="E255"/>
      <c r="F255" s="88">
        <v>15670.25</v>
      </c>
      <c r="G255" s="79">
        <f t="shared" si="19"/>
        <v>1.5198582502194524E-2</v>
      </c>
      <c r="I255" s="91">
        <v>663.63</v>
      </c>
      <c r="J255" s="82">
        <f t="shared" si="20"/>
        <v>-7.3714649533932492E-3</v>
      </c>
      <c r="K255" s="42"/>
      <c r="L255" s="86">
        <v>383.4</v>
      </c>
      <c r="M255" s="82">
        <f t="shared" si="21"/>
        <v>1.286555887248042E-2</v>
      </c>
      <c r="N255" s="42"/>
      <c r="O255" s="78">
        <v>2264.35</v>
      </c>
      <c r="P255" s="82">
        <f t="shared" si="22"/>
        <v>-6.4064591149431971E-3</v>
      </c>
      <c r="Q255" s="42"/>
      <c r="R255" s="78">
        <v>2484</v>
      </c>
      <c r="S255" s="82">
        <f t="shared" si="23"/>
        <v>-8.6602546194675112E-3</v>
      </c>
    </row>
    <row r="256" spans="2:19" ht="16.5">
      <c r="B256" s="85">
        <v>44339</v>
      </c>
      <c r="C256" s="80">
        <v>2940.7</v>
      </c>
      <c r="D256" s="82">
        <f t="shared" si="18"/>
        <v>3.8199470432480176E-2</v>
      </c>
      <c r="E256"/>
      <c r="F256" s="88">
        <v>15435.65</v>
      </c>
      <c r="G256" s="79">
        <f t="shared" si="19"/>
        <v>1.7156168247085768E-2</v>
      </c>
      <c r="I256" s="91">
        <v>668.54</v>
      </c>
      <c r="J256" s="82">
        <f t="shared" si="20"/>
        <v>1.437269570192686E-2</v>
      </c>
      <c r="K256" s="42"/>
      <c r="L256" s="86">
        <v>378.53</v>
      </c>
      <c r="M256" s="82">
        <f t="shared" si="21"/>
        <v>2.3413631816584068E-2</v>
      </c>
      <c r="N256" s="42"/>
      <c r="O256" s="78">
        <v>2278.9499999999998</v>
      </c>
      <c r="P256" s="82">
        <f t="shared" si="22"/>
        <v>5.1161047037289187E-3</v>
      </c>
      <c r="Q256" s="42"/>
      <c r="R256" s="78">
        <v>2505.6999999999998</v>
      </c>
      <c r="S256" s="82">
        <f t="shared" si="23"/>
        <v>-9.0759891641786217E-3</v>
      </c>
    </row>
    <row r="257" spans="2:19" ht="16.5">
      <c r="B257" s="85">
        <v>44332</v>
      </c>
      <c r="C257" s="80">
        <v>2832.5</v>
      </c>
      <c r="D257" s="82">
        <f t="shared" si="18"/>
        <v>2.0904667507658958E-2</v>
      </c>
      <c r="E257"/>
      <c r="F257" s="88">
        <v>15175.3</v>
      </c>
      <c r="G257" s="79">
        <f t="shared" si="19"/>
        <v>3.3894725367561884E-2</v>
      </c>
      <c r="I257" s="91">
        <v>659</v>
      </c>
      <c r="J257" s="82">
        <f t="shared" si="20"/>
        <v>4.9314580862758021E-2</v>
      </c>
      <c r="K257" s="42"/>
      <c r="L257" s="86">
        <v>369.87</v>
      </c>
      <c r="M257" s="82">
        <f t="shared" si="21"/>
        <v>4.590146124178407E-3</v>
      </c>
      <c r="N257" s="42"/>
      <c r="O257" s="78">
        <v>2267.35</v>
      </c>
      <c r="P257" s="82">
        <f t="shared" si="22"/>
        <v>3.9854158545254537E-2</v>
      </c>
      <c r="Q257" s="42"/>
      <c r="R257" s="78">
        <v>2528.65</v>
      </c>
      <c r="S257" s="82">
        <f t="shared" si="23"/>
        <v>1.703334271809509E-2</v>
      </c>
    </row>
    <row r="258" spans="2:19" ht="16.5">
      <c r="B258" s="85">
        <v>44325</v>
      </c>
      <c r="C258" s="80">
        <v>2774.5</v>
      </c>
      <c r="D258" s="82">
        <f t="shared" si="18"/>
        <v>8.7335645562675035E-2</v>
      </c>
      <c r="E258"/>
      <c r="F258" s="88">
        <v>14677.8</v>
      </c>
      <c r="G258" s="79">
        <f t="shared" si="19"/>
        <v>-9.8056081197316347E-3</v>
      </c>
      <c r="I258" s="91">
        <v>627.29</v>
      </c>
      <c r="J258" s="82">
        <f t="shared" si="20"/>
        <v>5.0815999641439742E-2</v>
      </c>
      <c r="K258" s="42"/>
      <c r="L258" s="86">
        <v>368.18</v>
      </c>
      <c r="M258" s="82">
        <f t="shared" si="21"/>
        <v>-5.8531720663819731E-2</v>
      </c>
      <c r="N258" s="42"/>
      <c r="O258" s="78">
        <v>2180.4499999999998</v>
      </c>
      <c r="P258" s="82">
        <f t="shared" si="22"/>
        <v>-1.1380381310784338E-2</v>
      </c>
      <c r="Q258" s="42"/>
      <c r="R258" s="78">
        <v>2486.3000000000002</v>
      </c>
      <c r="S258" s="82">
        <f t="shared" si="23"/>
        <v>7.1542472956083181E-2</v>
      </c>
    </row>
    <row r="259" spans="2:19" ht="16.5">
      <c r="B259" s="85">
        <v>44318</v>
      </c>
      <c r="C259" s="80">
        <v>2551.65</v>
      </c>
      <c r="D259" s="82">
        <f t="shared" si="18"/>
        <v>6.0124586027441307E-3</v>
      </c>
      <c r="E259"/>
      <c r="F259" s="88">
        <v>14823.15</v>
      </c>
      <c r="G259" s="79">
        <f t="shared" si="19"/>
        <v>1.3126149093369621E-2</v>
      </c>
      <c r="I259" s="91">
        <v>596.21</v>
      </c>
      <c r="J259" s="82">
        <f t="shared" si="20"/>
        <v>1.6130472832181369E-2</v>
      </c>
      <c r="K259" s="42"/>
      <c r="L259" s="86">
        <v>391.07</v>
      </c>
      <c r="M259" s="82">
        <f t="shared" si="21"/>
        <v>6.3875513479692003E-2</v>
      </c>
      <c r="N259" s="42"/>
      <c r="O259" s="78">
        <v>2205.5500000000002</v>
      </c>
      <c r="P259" s="82">
        <f t="shared" si="22"/>
        <v>-1.6762142522791623E-2</v>
      </c>
      <c r="Q259" s="42"/>
      <c r="R259" s="78">
        <v>2320.3000000000002</v>
      </c>
      <c r="S259" s="82">
        <f t="shared" si="23"/>
        <v>2.0729863960269324E-3</v>
      </c>
    </row>
    <row r="260" spans="2:19" ht="16.5">
      <c r="B260" s="85">
        <v>44311</v>
      </c>
      <c r="C260" s="80">
        <v>2536.4</v>
      </c>
      <c r="D260" s="82">
        <f t="shared" si="18"/>
        <v>7.3273893445064964E-3</v>
      </c>
      <c r="E260"/>
      <c r="F260" s="88">
        <v>14631.1</v>
      </c>
      <c r="G260" s="79">
        <f t="shared" si="19"/>
        <v>2.020381623766232E-2</v>
      </c>
      <c r="I260" s="91">
        <v>586.66999999999996</v>
      </c>
      <c r="J260" s="82">
        <f t="shared" si="20"/>
        <v>-8.0639437392744876E-3</v>
      </c>
      <c r="K260" s="42"/>
      <c r="L260" s="86">
        <v>367.59</v>
      </c>
      <c r="M260" s="82">
        <f t="shared" si="21"/>
        <v>1.0640052787858734E-2</v>
      </c>
      <c r="N260" s="42"/>
      <c r="O260" s="78">
        <v>2243.15</v>
      </c>
      <c r="P260" s="82">
        <f t="shared" si="22"/>
        <v>1.058725474736999E-2</v>
      </c>
      <c r="Q260" s="42"/>
      <c r="R260" s="78">
        <v>2315.5</v>
      </c>
      <c r="S260" s="82">
        <f t="shared" si="23"/>
        <v>1.7277871366250253E-4</v>
      </c>
    </row>
    <row r="261" spans="2:19" ht="16.5">
      <c r="B261" s="85">
        <v>44304</v>
      </c>
      <c r="C261" s="80">
        <v>2517.9499999999998</v>
      </c>
      <c r="D261" s="82">
        <f t="shared" si="18"/>
        <v>-5.4717122799114004E-2</v>
      </c>
      <c r="E261"/>
      <c r="F261" s="88">
        <v>14341.35</v>
      </c>
      <c r="G261" s="79">
        <f t="shared" si="19"/>
        <v>-1.8915230351932766E-2</v>
      </c>
      <c r="I261" s="91">
        <v>591.41999999999996</v>
      </c>
      <c r="J261" s="82">
        <f t="shared" si="20"/>
        <v>-3.5430597502819391E-2</v>
      </c>
      <c r="K261" s="42"/>
      <c r="L261" s="86">
        <v>363.72</v>
      </c>
      <c r="M261" s="82">
        <f t="shared" si="21"/>
        <v>-3.9480286265085707E-2</v>
      </c>
      <c r="N261" s="42"/>
      <c r="O261" s="78">
        <v>2219.65</v>
      </c>
      <c r="P261" s="82">
        <f t="shared" si="22"/>
        <v>-2.1145704709825242E-2</v>
      </c>
      <c r="Q261" s="42"/>
      <c r="R261" s="78">
        <v>2315.1</v>
      </c>
      <c r="S261" s="82">
        <f t="shared" si="23"/>
        <v>-1.1864443341890185E-3</v>
      </c>
    </row>
    <row r="262" spans="2:19" ht="16.5">
      <c r="B262" s="85">
        <v>44297</v>
      </c>
      <c r="C262" s="80">
        <v>2663.7</v>
      </c>
      <c r="D262" s="82">
        <f t="shared" si="18"/>
        <v>1.2505701687699489E-2</v>
      </c>
      <c r="E262"/>
      <c r="F262" s="88">
        <v>14617.85</v>
      </c>
      <c r="G262" s="79">
        <f t="shared" si="19"/>
        <v>-1.4627717840085985E-2</v>
      </c>
      <c r="I262" s="91">
        <v>612.75</v>
      </c>
      <c r="J262" s="82">
        <f t="shared" si="20"/>
        <v>-2.3260613851353962E-2</v>
      </c>
      <c r="K262" s="42"/>
      <c r="L262" s="86">
        <v>378.67</v>
      </c>
      <c r="M262" s="82">
        <f t="shared" si="21"/>
        <v>-3.9420613378655989E-2</v>
      </c>
      <c r="N262" s="42"/>
      <c r="O262" s="78">
        <v>2267.6</v>
      </c>
      <c r="P262" s="82">
        <f t="shared" si="22"/>
        <v>-3.2779543176437942E-2</v>
      </c>
      <c r="Q262" s="42"/>
      <c r="R262" s="78">
        <v>2317.85</v>
      </c>
      <c r="S262" s="82">
        <f t="shared" si="23"/>
        <v>-1.1367029217317137E-2</v>
      </c>
    </row>
    <row r="263" spans="2:19" ht="16.5">
      <c r="B263" s="85">
        <v>44290</v>
      </c>
      <c r="C263" s="80">
        <v>2630.8</v>
      </c>
      <c r="D263" s="82">
        <f t="shared" si="18"/>
        <v>3.0978740080337186E-2</v>
      </c>
      <c r="E263"/>
      <c r="F263" s="88">
        <v>14834.85</v>
      </c>
      <c r="G263" s="79">
        <f t="shared" si="19"/>
        <v>-2.185998177213877E-3</v>
      </c>
      <c r="I263" s="91">
        <v>627.16999999999996</v>
      </c>
      <c r="J263" s="82">
        <f t="shared" si="20"/>
        <v>-1.5489222992431214E-2</v>
      </c>
      <c r="K263" s="42"/>
      <c r="L263" s="86">
        <v>394.21</v>
      </c>
      <c r="M263" s="82">
        <f t="shared" si="21"/>
        <v>7.0249833954938445E-3</v>
      </c>
      <c r="N263" s="42"/>
      <c r="O263" s="78">
        <v>2344.4499999999998</v>
      </c>
      <c r="P263" s="82">
        <f t="shared" si="22"/>
        <v>-1.1218658400286907E-2</v>
      </c>
      <c r="Q263" s="42"/>
      <c r="R263" s="78">
        <v>2344.5</v>
      </c>
      <c r="S263" s="82">
        <f t="shared" si="23"/>
        <v>-1.6671909405473473E-2</v>
      </c>
    </row>
    <row r="264" spans="2:19" ht="16.5">
      <c r="B264" s="85">
        <v>44283</v>
      </c>
      <c r="C264" s="80">
        <v>2551.75</v>
      </c>
      <c r="D264" s="82">
        <f t="shared" ref="D264:D270" si="24">(C264/C265)-1</f>
        <v>1.8601680538091525E-2</v>
      </c>
      <c r="E264"/>
      <c r="F264" s="88">
        <v>14867.35</v>
      </c>
      <c r="G264" s="79">
        <f t="shared" ref="G264:G270" si="25">(F264/F265)-1</f>
        <v>2.4818539631771719E-2</v>
      </c>
      <c r="I264" s="91">
        <v>636.96</v>
      </c>
      <c r="J264" s="82">
        <f t="shared" ref="J264:J270" si="26">LN(I264/I265)</f>
        <v>5.841570370222488E-3</v>
      </c>
      <c r="K264" s="42"/>
      <c r="L264" s="86">
        <v>391.46</v>
      </c>
      <c r="M264" s="82">
        <f t="shared" ref="M264:M270" si="27">(L264/L265)-1</f>
        <v>4.1338582677165281E-2</v>
      </c>
      <c r="N264" s="42"/>
      <c r="O264" s="78">
        <v>2371.0500000000002</v>
      </c>
      <c r="P264" s="82">
        <f t="shared" ref="P264:P270" si="28">(O264/O265)-1</f>
        <v>6.6071669439323966E-2</v>
      </c>
      <c r="Q264" s="42"/>
      <c r="R264" s="78">
        <v>2384.25</v>
      </c>
      <c r="S264" s="82">
        <f t="shared" ref="S264:S270" si="29">(R264/R265)-1</f>
        <v>3.746491743358793E-2</v>
      </c>
    </row>
    <row r="265" spans="2:19" ht="16.5">
      <c r="B265" s="85">
        <v>44276</v>
      </c>
      <c r="C265" s="80">
        <v>2505.15</v>
      </c>
      <c r="D265" s="82">
        <f t="shared" si="24"/>
        <v>3.8942457231726291E-2</v>
      </c>
      <c r="E265"/>
      <c r="F265" s="88">
        <v>14507.3</v>
      </c>
      <c r="G265" s="79">
        <f t="shared" si="25"/>
        <v>-1.6053988062940894E-2</v>
      </c>
      <c r="I265" s="91">
        <v>633.25</v>
      </c>
      <c r="J265" s="82">
        <f t="shared" si="26"/>
        <v>4.6050139391648016E-2</v>
      </c>
      <c r="K265" s="42"/>
      <c r="L265" s="86">
        <v>375.92</v>
      </c>
      <c r="M265" s="82">
        <f t="shared" si="27"/>
        <v>6.8835119843052572E-2</v>
      </c>
      <c r="N265" s="42"/>
      <c r="O265" s="78">
        <v>2224.1</v>
      </c>
      <c r="P265" s="82">
        <f t="shared" si="28"/>
        <v>1.113838879796325E-2</v>
      </c>
      <c r="Q265" s="42"/>
      <c r="R265" s="78">
        <v>2298.15</v>
      </c>
      <c r="S265" s="82">
        <f t="shared" si="29"/>
        <v>5.5568925156972426E-3</v>
      </c>
    </row>
    <row r="266" spans="2:19" ht="16.5">
      <c r="B266" s="85">
        <v>44269</v>
      </c>
      <c r="C266" s="80">
        <v>2411.25</v>
      </c>
      <c r="D266" s="82">
        <f t="shared" si="24"/>
        <v>4.1226809919421292E-3</v>
      </c>
      <c r="E266"/>
      <c r="F266" s="88">
        <v>14744</v>
      </c>
      <c r="G266" s="79">
        <f t="shared" si="25"/>
        <v>-1.9090609708634521E-2</v>
      </c>
      <c r="I266" s="91">
        <v>604.75</v>
      </c>
      <c r="J266" s="82">
        <f t="shared" si="26"/>
        <v>1.170946299848104E-2</v>
      </c>
      <c r="K266" s="42"/>
      <c r="L266" s="86">
        <v>351.71</v>
      </c>
      <c r="M266" s="82">
        <f t="shared" si="27"/>
        <v>-7.3618500763841466E-2</v>
      </c>
      <c r="N266" s="42"/>
      <c r="O266" s="78">
        <v>2199.6</v>
      </c>
      <c r="P266" s="82">
        <f t="shared" si="28"/>
        <v>-4.242397858122382E-2</v>
      </c>
      <c r="Q266" s="42"/>
      <c r="R266" s="78">
        <v>2285.4499999999998</v>
      </c>
      <c r="S266" s="82">
        <f t="shared" si="29"/>
        <v>-8.6167256442551854E-2</v>
      </c>
    </row>
    <row r="267" spans="2:19" ht="16.5">
      <c r="B267" s="85">
        <v>44262</v>
      </c>
      <c r="C267" s="80">
        <v>2401.35</v>
      </c>
      <c r="D267" s="82">
        <f t="shared" si="24"/>
        <v>5.9695865275857241E-3</v>
      </c>
      <c r="E267"/>
      <c r="F267" s="88">
        <v>15030.95</v>
      </c>
      <c r="G267" s="79">
        <f t="shared" si="25"/>
        <v>6.2156499153172007E-3</v>
      </c>
      <c r="I267" s="91">
        <v>597.71</v>
      </c>
      <c r="J267" s="82">
        <f t="shared" si="26"/>
        <v>-1.7003403836604834E-2</v>
      </c>
      <c r="K267" s="42"/>
      <c r="L267" s="86">
        <v>379.66</v>
      </c>
      <c r="M267" s="82">
        <f t="shared" si="27"/>
        <v>-6.5677578041185569E-3</v>
      </c>
      <c r="N267" s="42"/>
      <c r="O267" s="78">
        <v>2297.0500000000002</v>
      </c>
      <c r="P267" s="82">
        <f t="shared" si="28"/>
        <v>4.6063117628307282E-2</v>
      </c>
      <c r="Q267" s="42"/>
      <c r="R267" s="78">
        <v>2500.9499999999998</v>
      </c>
      <c r="S267" s="82">
        <f t="shared" si="29"/>
        <v>-9.7208473569591058E-3</v>
      </c>
    </row>
    <row r="268" spans="2:19" ht="16.5">
      <c r="B268" s="85">
        <v>44255</v>
      </c>
      <c r="C268" s="80">
        <v>2387.1</v>
      </c>
      <c r="D268" s="82">
        <f t="shared" si="24"/>
        <v>4.8261022308097701E-2</v>
      </c>
      <c r="E268"/>
      <c r="F268" s="88">
        <v>14938.1</v>
      </c>
      <c r="G268" s="79">
        <f t="shared" si="25"/>
        <v>2.8146863374663988E-2</v>
      </c>
      <c r="I268" s="91">
        <v>607.96</v>
      </c>
      <c r="J268" s="82">
        <f t="shared" si="26"/>
        <v>7.0561403350250018E-2</v>
      </c>
      <c r="K268" s="42"/>
      <c r="L268" s="86">
        <v>382.17</v>
      </c>
      <c r="M268" s="82">
        <f t="shared" si="27"/>
        <v>3.3730051393021432E-2</v>
      </c>
      <c r="N268" s="42"/>
      <c r="O268" s="78">
        <v>2195.9</v>
      </c>
      <c r="P268" s="82">
        <f t="shared" si="28"/>
        <v>1.7515407071034828E-2</v>
      </c>
      <c r="Q268" s="42"/>
      <c r="R268" s="78">
        <v>2525.5</v>
      </c>
      <c r="S268" s="82">
        <f t="shared" si="29"/>
        <v>1.308381571643924E-3</v>
      </c>
    </row>
    <row r="269" spans="2:19" ht="16.5">
      <c r="B269" s="85">
        <v>44248</v>
      </c>
      <c r="C269" s="80">
        <v>2277.1999999999998</v>
      </c>
      <c r="D269" s="82">
        <f t="shared" si="24"/>
        <v>-5.7625856111237606E-2</v>
      </c>
      <c r="E269"/>
      <c r="F269" s="88">
        <v>14529.15</v>
      </c>
      <c r="G269" s="79">
        <f t="shared" si="25"/>
        <v>-3.0210088941545532E-2</v>
      </c>
      <c r="I269" s="91">
        <v>566.54</v>
      </c>
      <c r="J269" s="82">
        <f t="shared" si="26"/>
        <v>-8.647140468135546E-2</v>
      </c>
      <c r="K269" s="42"/>
      <c r="L269" s="86">
        <v>369.7</v>
      </c>
      <c r="M269" s="82">
        <f t="shared" si="27"/>
        <v>-6.0492001613120516E-3</v>
      </c>
      <c r="N269" s="42"/>
      <c r="O269" s="78">
        <v>2158.1</v>
      </c>
      <c r="P269" s="82">
        <f t="shared" si="28"/>
        <v>5.3807272134354101E-3</v>
      </c>
      <c r="Q269" s="42"/>
      <c r="R269" s="78">
        <v>2522.1999999999998</v>
      </c>
      <c r="S269" s="82">
        <f t="shared" si="29"/>
        <v>-1.959107517686387E-2</v>
      </c>
    </row>
    <row r="270" spans="2:19" ht="16.5">
      <c r="B270" s="85">
        <v>44241</v>
      </c>
      <c r="C270" s="80">
        <v>2416.4499999999998</v>
      </c>
      <c r="D270" s="82">
        <f t="shared" si="24"/>
        <v>-2.8015767668235436E-2</v>
      </c>
      <c r="E270"/>
      <c r="F270" s="88">
        <v>14981.75</v>
      </c>
      <c r="G270" s="79">
        <f t="shared" si="25"/>
        <v>-1.19729874103921E-2</v>
      </c>
      <c r="I270" s="91">
        <v>617.71</v>
      </c>
      <c r="J270" s="82">
        <f t="shared" si="26"/>
        <v>-3.8506904793589591E-2</v>
      </c>
      <c r="K270" s="42"/>
      <c r="L270" s="86">
        <v>371.95</v>
      </c>
      <c r="M270" s="82">
        <f t="shared" si="27"/>
        <v>-2.2264865149045909E-2</v>
      </c>
      <c r="N270" s="42"/>
      <c r="O270" s="78">
        <v>2146.5500000000002</v>
      </c>
      <c r="P270" s="82">
        <f t="shared" si="28"/>
        <v>-2.1270289987233126E-2</v>
      </c>
      <c r="Q270" s="42"/>
      <c r="R270" s="78">
        <v>2572.6</v>
      </c>
      <c r="S270" s="82">
        <f t="shared" si="29"/>
        <v>-1.4612659197548616E-2</v>
      </c>
    </row>
    <row r="271" spans="2:19" ht="16.5">
      <c r="B271" s="85">
        <v>44234</v>
      </c>
      <c r="C271" s="80">
        <v>2486.1</v>
      </c>
      <c r="D271" s="82"/>
      <c r="E271"/>
      <c r="F271" s="88">
        <v>15163.3</v>
      </c>
      <c r="G271" s="79"/>
      <c r="I271" s="91">
        <v>641.96</v>
      </c>
      <c r="J271" s="82"/>
      <c r="K271" s="42"/>
      <c r="L271" s="86">
        <v>380.42</v>
      </c>
      <c r="M271" s="82"/>
      <c r="N271" s="42"/>
      <c r="O271" s="78">
        <v>2193.1999999999998</v>
      </c>
      <c r="P271" s="82"/>
      <c r="Q271" s="42"/>
      <c r="R271" s="78">
        <v>2610.75</v>
      </c>
      <c r="S271" s="82"/>
    </row>
    <row r="272" spans="2:19" ht="16.5">
      <c r="B272" s="73"/>
      <c r="C272" s="80"/>
      <c r="D272" s="82"/>
      <c r="E272"/>
      <c r="F272" s="88"/>
      <c r="G272" s="79"/>
      <c r="I272" s="92"/>
      <c r="J272" s="82"/>
      <c r="L272" s="83"/>
      <c r="M272" s="82"/>
      <c r="O272" s="77"/>
      <c r="P272" s="82"/>
    </row>
    <row r="274" spans="2:19" s="87" customFormat="1" ht="22.5" customHeight="1">
      <c r="B274" s="160" t="s">
        <v>137</v>
      </c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</row>
    <row r="276" spans="2:19">
      <c r="B276" s="127" t="s">
        <v>147</v>
      </c>
      <c r="C276" s="145">
        <f>SLOPE(D7:D270,$G$7:$G$270)</f>
        <v>0.88936431538761263</v>
      </c>
      <c r="D276" s="121"/>
      <c r="E276" s="146"/>
      <c r="F276" s="147"/>
      <c r="G276" s="121"/>
      <c r="H276" s="121"/>
      <c r="I276" s="148" t="s">
        <v>167</v>
      </c>
      <c r="J276" s="145">
        <f>SLOPE(J7:J270,G7:G270)</f>
        <v>0.89286828311825761</v>
      </c>
      <c r="K276" s="121"/>
      <c r="L276" s="127" t="s">
        <v>165</v>
      </c>
      <c r="M276" s="127">
        <f>SLOPE(M7:M270,G7:G270)</f>
        <v>0.84425099874426823</v>
      </c>
      <c r="N276" s="121"/>
      <c r="O276" s="127" t="s">
        <v>164</v>
      </c>
      <c r="P276" s="127">
        <f>SLOPE(P7:P270,G7:G270)</f>
        <v>0.5265611962450647</v>
      </c>
      <c r="Q276" s="121"/>
      <c r="R276" s="127" t="s">
        <v>166</v>
      </c>
      <c r="S276" s="127">
        <f>SLOPE(S7:S270,G7:G270)</f>
        <v>0.77568816904800697</v>
      </c>
    </row>
  </sheetData>
  <mergeCells count="3">
    <mergeCell ref="B2:M2"/>
    <mergeCell ref="B274:S274"/>
    <mergeCell ref="B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21"/>
  <sheetViews>
    <sheetView workbookViewId="0">
      <selection activeCell="N20" sqref="N20"/>
    </sheetView>
  </sheetViews>
  <sheetFormatPr defaultRowHeight="15"/>
  <cols>
    <col min="1" max="1" width="1.85546875" customWidth="1"/>
    <col min="2" max="2" width="8.7109375" customWidth="1"/>
    <col min="3" max="3" width="16" bestFit="1" customWidth="1"/>
    <col min="4" max="4" width="9" customWidth="1"/>
    <col min="5" max="5" width="12" bestFit="1" customWidth="1"/>
    <col min="6" max="6" width="9.7109375" bestFit="1" customWidth="1"/>
    <col min="7" max="7" width="7.85546875" customWidth="1"/>
    <col min="8" max="8" width="8.5703125" customWidth="1"/>
    <col min="9" max="9" width="10.85546875" bestFit="1" customWidth="1"/>
    <col min="10" max="10" width="8.42578125" customWidth="1"/>
    <col min="11" max="11" width="7.42578125" customWidth="1"/>
    <col min="12" max="12" width="20.42578125" bestFit="1" customWidth="1"/>
    <col min="13" max="13" width="8.28515625" customWidth="1"/>
    <col min="14" max="14" width="9" customWidth="1"/>
    <col min="15" max="15" width="8.140625" customWidth="1"/>
  </cols>
  <sheetData>
    <row r="2" spans="2:12" ht="18.75" customHeight="1">
      <c r="B2" s="155" t="s">
        <v>141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4" spans="2:12">
      <c r="B4" s="36" t="s">
        <v>126</v>
      </c>
      <c r="C4" s="36"/>
      <c r="D4" s="36"/>
      <c r="E4" s="36"/>
      <c r="F4" s="36"/>
      <c r="G4" s="36"/>
      <c r="H4" s="36"/>
      <c r="I4" s="36"/>
      <c r="J4" s="68"/>
      <c r="K4" s="36"/>
      <c r="L4" s="36"/>
    </row>
    <row r="5" spans="2:12">
      <c r="B5" t="s">
        <v>130</v>
      </c>
      <c r="J5" s="69"/>
      <c r="L5" s="53">
        <f>Comp!H18</f>
        <v>3.5000000000000003E-2</v>
      </c>
    </row>
    <row r="6" spans="2:12">
      <c r="B6" t="s">
        <v>131</v>
      </c>
      <c r="J6" s="69"/>
      <c r="L6" s="53">
        <f>1-L5</f>
        <v>0.96499999999999997</v>
      </c>
    </row>
    <row r="7" spans="2:12">
      <c r="B7" s="36" t="s">
        <v>127</v>
      </c>
      <c r="C7" s="27"/>
      <c r="D7" s="27"/>
      <c r="E7" s="27"/>
      <c r="F7" s="27"/>
      <c r="G7" s="27"/>
      <c r="H7" s="27"/>
      <c r="I7" s="27"/>
      <c r="J7" s="70"/>
      <c r="K7" s="27"/>
      <c r="L7" s="27"/>
    </row>
    <row r="8" spans="2:12">
      <c r="B8" t="s">
        <v>11</v>
      </c>
      <c r="J8" s="69"/>
      <c r="L8" s="35">
        <f>Comp!E4</f>
        <v>219402.07</v>
      </c>
    </row>
    <row r="9" spans="2:12">
      <c r="B9" t="s">
        <v>129</v>
      </c>
      <c r="J9" s="69"/>
      <c r="L9" s="35">
        <f>Comp!F4</f>
        <v>3557.09</v>
      </c>
    </row>
    <row r="10" spans="2:12">
      <c r="B10" t="s">
        <v>128</v>
      </c>
      <c r="J10" s="69"/>
      <c r="L10" s="108">
        <f>L9/L8</f>
        <v>1.6212654693731923E-2</v>
      </c>
    </row>
    <row r="11" spans="2:12">
      <c r="B11" s="36" t="s">
        <v>132</v>
      </c>
      <c r="C11" s="27"/>
      <c r="D11" s="27"/>
      <c r="E11" s="27"/>
      <c r="F11" s="27"/>
      <c r="G11" s="27"/>
      <c r="H11" s="27"/>
      <c r="I11" s="27"/>
      <c r="J11" s="70"/>
      <c r="K11" s="27"/>
      <c r="L11" s="27"/>
    </row>
    <row r="12" spans="2:12">
      <c r="B12" t="s">
        <v>134</v>
      </c>
      <c r="J12" s="69"/>
      <c r="L12" s="53">
        <v>7.0000000000000007E-2</v>
      </c>
    </row>
    <row r="13" spans="2:12">
      <c r="B13" t="s">
        <v>0</v>
      </c>
      <c r="J13" s="69"/>
      <c r="L13" s="117">
        <f>'Key Assumption '!G13</f>
        <v>0.24</v>
      </c>
    </row>
    <row r="14" spans="2:12">
      <c r="B14" s="121" t="s">
        <v>135</v>
      </c>
      <c r="C14" s="121"/>
      <c r="D14" s="121"/>
      <c r="E14" s="121"/>
      <c r="F14" s="121"/>
      <c r="G14" s="121"/>
      <c r="H14" s="121"/>
      <c r="I14" s="121"/>
      <c r="J14" s="149"/>
      <c r="K14" s="121"/>
      <c r="L14" s="150">
        <f>L12*(1-L13)</f>
        <v>5.3200000000000004E-2</v>
      </c>
    </row>
    <row r="15" spans="2:12">
      <c r="B15" s="36" t="s">
        <v>133</v>
      </c>
      <c r="C15" s="27"/>
      <c r="D15" s="27"/>
      <c r="E15" s="27"/>
      <c r="F15" s="27"/>
      <c r="G15" s="27"/>
      <c r="H15" s="27"/>
      <c r="I15" s="27"/>
      <c r="J15" s="70"/>
      <c r="K15" s="27"/>
      <c r="L15" s="27"/>
    </row>
    <row r="16" spans="2:12">
      <c r="B16" t="s">
        <v>136</v>
      </c>
      <c r="J16" s="69"/>
      <c r="L16" s="53">
        <f>'Key Assumption '!G12</f>
        <v>6.88E-2</v>
      </c>
    </row>
    <row r="17" spans="2:12">
      <c r="B17" t="s">
        <v>137</v>
      </c>
      <c r="J17" s="69"/>
      <c r="L17" s="96">
        <f>Comp!L18</f>
        <v>0.79170860648741204</v>
      </c>
    </row>
    <row r="18" spans="2:12">
      <c r="B18" t="s">
        <v>138</v>
      </c>
      <c r="J18" s="69"/>
      <c r="L18" s="53">
        <f>0.13</f>
        <v>0.13</v>
      </c>
    </row>
    <row r="19" spans="2:12">
      <c r="B19" t="s">
        <v>139</v>
      </c>
      <c r="J19" s="69"/>
      <c r="L19" s="117">
        <f>L18-L16</f>
        <v>6.1200000000000004E-2</v>
      </c>
    </row>
    <row r="20" spans="2:12">
      <c r="B20" s="121" t="s">
        <v>140</v>
      </c>
      <c r="C20" s="121"/>
      <c r="D20" s="121"/>
      <c r="E20" s="121"/>
      <c r="F20" s="121"/>
      <c r="G20" s="121"/>
      <c r="H20" s="121"/>
      <c r="I20" s="121"/>
      <c r="J20" s="149"/>
      <c r="K20" s="121"/>
      <c r="L20" s="150">
        <f>L16+L17*(L19)</f>
        <v>0.11725256671702962</v>
      </c>
    </row>
    <row r="21" spans="2:12">
      <c r="B21" s="36" t="s">
        <v>125</v>
      </c>
      <c r="C21" s="27"/>
      <c r="D21" s="27"/>
      <c r="E21" s="27"/>
      <c r="F21" s="27"/>
      <c r="G21" s="27"/>
      <c r="H21" s="27"/>
      <c r="I21" s="27"/>
      <c r="J21" s="70"/>
      <c r="K21" s="27"/>
      <c r="L21" s="118">
        <f>L5*L14+L20*L6</f>
        <v>0.11501072688193358</v>
      </c>
    </row>
  </sheetData>
  <mergeCells count="1">
    <mergeCell ref="B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Y74"/>
  <sheetViews>
    <sheetView topLeftCell="B4" workbookViewId="0">
      <selection activeCell="B69" sqref="B69"/>
    </sheetView>
  </sheetViews>
  <sheetFormatPr defaultRowHeight="15"/>
  <cols>
    <col min="1" max="1" width="1.85546875" customWidth="1"/>
    <col min="2" max="2" width="23.42578125" bestFit="1" customWidth="1"/>
    <col min="5" max="6" width="15.7109375" bestFit="1" customWidth="1"/>
    <col min="7" max="7" width="21" bestFit="1" customWidth="1"/>
    <col min="8" max="8" width="17.28515625" bestFit="1" customWidth="1"/>
    <col min="9" max="9" width="21" bestFit="1" customWidth="1"/>
    <col min="10" max="10" width="20" bestFit="1" customWidth="1"/>
    <col min="11" max="11" width="16.85546875" customWidth="1"/>
  </cols>
  <sheetData>
    <row r="2" spans="2:15" ht="15" customHeight="1">
      <c r="B2" s="164" t="s">
        <v>180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</row>
    <row r="3" spans="2:15" ht="15" customHeight="1"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"/>
      <c r="N3" s="2"/>
    </row>
    <row r="4" spans="2:15">
      <c r="M4" s="7"/>
      <c r="N4" s="7"/>
    </row>
    <row r="5" spans="2:15">
      <c r="B5" s="1"/>
      <c r="C5" s="2"/>
      <c r="D5" s="3"/>
      <c r="E5" s="4"/>
      <c r="F5" s="4"/>
      <c r="G5" s="4"/>
      <c r="H5" s="4"/>
      <c r="I5" s="4"/>
      <c r="J5" s="2"/>
      <c r="K5" s="2"/>
      <c r="L5" s="2"/>
      <c r="M5" s="5"/>
      <c r="N5" s="11"/>
    </row>
    <row r="6" spans="2:15" ht="15.75" thickBot="1">
      <c r="B6" s="6" t="s">
        <v>181</v>
      </c>
      <c r="C6" s="7"/>
      <c r="D6" s="67"/>
      <c r="E6" s="8"/>
      <c r="F6" s="8">
        <v>2026</v>
      </c>
      <c r="G6" s="8">
        <v>2027</v>
      </c>
      <c r="H6" s="8">
        <v>2028</v>
      </c>
      <c r="I6" s="8">
        <v>2029</v>
      </c>
      <c r="J6" s="8">
        <v>2030</v>
      </c>
      <c r="K6" s="2"/>
      <c r="L6" s="6"/>
      <c r="M6" s="5"/>
      <c r="N6" s="14"/>
    </row>
    <row r="7" spans="2:15">
      <c r="B7" s="5"/>
      <c r="C7" s="5"/>
      <c r="D7" s="9"/>
      <c r="E7" s="10"/>
      <c r="F7" s="10"/>
      <c r="G7" s="10"/>
      <c r="H7" s="10"/>
      <c r="I7" s="10"/>
      <c r="J7" s="9"/>
      <c r="K7" s="2"/>
      <c r="L7" s="5"/>
      <c r="M7" s="2"/>
      <c r="N7" s="11"/>
    </row>
    <row r="8" spans="2:15">
      <c r="B8" s="12" t="s">
        <v>3</v>
      </c>
      <c r="C8" s="12"/>
      <c r="D8" s="13"/>
      <c r="E8" s="45"/>
      <c r="F8" s="45">
        <v>1</v>
      </c>
      <c r="G8" s="45">
        <v>2</v>
      </c>
      <c r="H8" s="45">
        <v>3</v>
      </c>
      <c r="I8" s="45">
        <v>4</v>
      </c>
      <c r="J8" s="45">
        <v>5</v>
      </c>
      <c r="K8" s="2"/>
      <c r="L8" s="5"/>
      <c r="M8" s="2"/>
      <c r="N8" s="2"/>
    </row>
    <row r="9" spans="2:15">
      <c r="B9" s="15" t="s">
        <v>4</v>
      </c>
      <c r="C9" s="2"/>
      <c r="D9" s="2"/>
      <c r="E9" s="16"/>
      <c r="F9" s="16"/>
      <c r="G9" s="16"/>
      <c r="H9" s="16"/>
      <c r="I9" s="16"/>
      <c r="J9" s="2"/>
      <c r="K9" s="2"/>
      <c r="L9" s="2"/>
      <c r="M9" s="2"/>
      <c r="N9" s="2"/>
    </row>
    <row r="10" spans="2:15">
      <c r="B10" s="15" t="s">
        <v>93</v>
      </c>
      <c r="C10" s="2"/>
      <c r="D10" s="2"/>
      <c r="E10" s="58"/>
      <c r="F10" s="58">
        <f>'Revenue Growth and Assumption'!E5</f>
        <v>38991.463000000003</v>
      </c>
      <c r="G10" s="58">
        <f>'Revenue Growth and Assumption'!F5</f>
        <v>38652.406799999997</v>
      </c>
      <c r="H10" s="58">
        <f>'Revenue Growth and Assumption'!G5</f>
        <v>38313.350599999998</v>
      </c>
      <c r="I10" s="58">
        <f>'Revenue Growth and Assumption'!H5</f>
        <v>37974.294399999999</v>
      </c>
      <c r="J10" s="58">
        <f>'Revenue Growth and Assumption'!I5</f>
        <v>37635.2382</v>
      </c>
      <c r="K10" s="2"/>
      <c r="L10" s="2"/>
      <c r="M10" s="2"/>
      <c r="N10" s="2"/>
    </row>
    <row r="11" spans="2:15">
      <c r="B11" s="15" t="s">
        <v>120</v>
      </c>
      <c r="C11" s="2"/>
      <c r="D11" s="2"/>
      <c r="E11" s="59"/>
      <c r="F11" s="59">
        <f>MEDIAN('3 Statement model'!$E$16:$I$16)</f>
        <v>0.23458155308461054</v>
      </c>
      <c r="G11" s="59">
        <f>MEDIAN('3 Statement model'!$E$16:$I$16)</f>
        <v>0.23458155308461054</v>
      </c>
      <c r="H11" s="59">
        <f>MEDIAN('3 Statement model'!$E$16:$I$16)</f>
        <v>0.23458155308461054</v>
      </c>
      <c r="I11" s="59">
        <f>MEDIAN('3 Statement model'!$E$16:$I$16)</f>
        <v>0.23458155308461054</v>
      </c>
      <c r="J11" s="59">
        <f>MEDIAN('3 Statement model'!$E$16:$I$16)</f>
        <v>0.23458155308461054</v>
      </c>
      <c r="K11" s="2"/>
      <c r="L11" s="2"/>
      <c r="M11" s="2"/>
      <c r="N11" s="2"/>
    </row>
    <row r="12" spans="2:15">
      <c r="B12" s="15" t="s">
        <v>68</v>
      </c>
      <c r="C12" s="2"/>
      <c r="D12" s="2"/>
      <c r="E12" s="58"/>
      <c r="F12" s="58">
        <f>F10*F11</f>
        <v>9146.677947581129</v>
      </c>
      <c r="G12" s="58">
        <f t="shared" ref="G12:J12" si="0">G10*G11</f>
        <v>9067.1416176021612</v>
      </c>
      <c r="H12" s="58">
        <f t="shared" si="0"/>
        <v>8987.6052876231952</v>
      </c>
      <c r="I12" s="58">
        <f t="shared" si="0"/>
        <v>8908.0689576442292</v>
      </c>
      <c r="J12" s="58">
        <f t="shared" si="0"/>
        <v>8828.5326276652631</v>
      </c>
      <c r="K12" s="2"/>
      <c r="L12" s="2"/>
      <c r="M12" s="2"/>
      <c r="N12" s="2"/>
    </row>
    <row r="13" spans="2:15">
      <c r="B13" s="15" t="s">
        <v>121</v>
      </c>
      <c r="C13" s="2"/>
      <c r="D13" s="2"/>
      <c r="E13" s="60"/>
      <c r="F13" s="60">
        <f>F$10*AVERAGE('3 Statement model'!$F$18:$J$18)</f>
        <v>1045.292708789106</v>
      </c>
      <c r="G13" s="60">
        <f>G$10*AVERAGE('3 Statement model'!$F$18:$J$18)</f>
        <v>1036.2032069735483</v>
      </c>
      <c r="H13" s="60">
        <f>H$10*AVERAGE('3 Statement model'!$F$18:$J$18)</f>
        <v>1027.1137051579908</v>
      </c>
      <c r="I13" s="60">
        <f>I$10*AVERAGE('3 Statement model'!$F$18:$J$18)</f>
        <v>1018.0242033424335</v>
      </c>
      <c r="J13" s="60">
        <f>J$10*AVERAGE('3 Statement model'!$F$18:$J$18)</f>
        <v>1008.934701526876</v>
      </c>
      <c r="K13" s="2"/>
      <c r="L13" s="2"/>
      <c r="M13" s="2"/>
      <c r="N13" s="2"/>
    </row>
    <row r="14" spans="2:15">
      <c r="B14" s="2" t="s">
        <v>5</v>
      </c>
      <c r="C14" s="2"/>
      <c r="D14" s="2"/>
      <c r="E14" s="61"/>
      <c r="F14" s="61">
        <f>F12-F13</f>
        <v>8101.3852387920233</v>
      </c>
      <c r="G14" s="61">
        <f t="shared" ref="G14:J14" si="1">G12-G13</f>
        <v>8030.9384106286125</v>
      </c>
      <c r="H14" s="61">
        <f t="shared" si="1"/>
        <v>7960.4915824652044</v>
      </c>
      <c r="I14" s="61">
        <f t="shared" si="1"/>
        <v>7890.0447543017954</v>
      </c>
      <c r="J14" s="61">
        <f t="shared" si="1"/>
        <v>7819.5979261383873</v>
      </c>
      <c r="K14" s="2"/>
      <c r="L14" s="2"/>
      <c r="M14" s="2"/>
      <c r="N14" s="2"/>
    </row>
    <row r="15" spans="2:15">
      <c r="B15" s="2" t="s">
        <v>6</v>
      </c>
      <c r="C15" s="2"/>
      <c r="D15" s="2"/>
      <c r="E15" s="62"/>
      <c r="F15" s="62">
        <f>F14*'Key Assumption '!$G$13</f>
        <v>1944.3324573100856</v>
      </c>
      <c r="G15" s="62">
        <f>G14*'Key Assumption '!$G$13</f>
        <v>1927.4252185508669</v>
      </c>
      <c r="H15" s="62">
        <f>H14*'Key Assumption '!$G$13</f>
        <v>1910.5179797916489</v>
      </c>
      <c r="I15" s="62">
        <f>I14*'Key Assumption '!$G$13</f>
        <v>1893.6107410324307</v>
      </c>
      <c r="J15" s="62">
        <f>J14*'Key Assumption '!$G$13</f>
        <v>1876.703502273213</v>
      </c>
      <c r="K15" s="2"/>
      <c r="L15" s="2"/>
      <c r="M15" s="2"/>
      <c r="N15" s="2"/>
    </row>
    <row r="16" spans="2:15">
      <c r="B16" s="2" t="s">
        <v>123</v>
      </c>
      <c r="C16" s="2"/>
      <c r="D16" s="2"/>
      <c r="E16" s="62"/>
      <c r="F16" s="62">
        <f t="shared" ref="F16" si="2">F14-F15</f>
        <v>6157.0527814819379</v>
      </c>
      <c r="G16" s="62">
        <f t="shared" ref="G16" si="3">G14-G15</f>
        <v>6103.5131920777458</v>
      </c>
      <c r="H16" s="62">
        <f t="shared" ref="H16" si="4">H14-H15</f>
        <v>6049.9736026735554</v>
      </c>
      <c r="I16" s="62">
        <f t="shared" ref="I16" si="5">I14-I15</f>
        <v>5996.4340132693651</v>
      </c>
      <c r="J16" s="62">
        <f t="shared" ref="J16" si="6">J14-J15</f>
        <v>5942.8944238651748</v>
      </c>
      <c r="K16" s="2"/>
      <c r="L16" s="2"/>
      <c r="M16" s="2"/>
      <c r="N16" s="2"/>
      <c r="O16" s="2"/>
    </row>
    <row r="17" spans="2:14">
      <c r="B17" s="2" t="s">
        <v>7</v>
      </c>
      <c r="C17" s="2"/>
      <c r="D17" s="2"/>
      <c r="E17" s="61"/>
      <c r="F17" s="61">
        <f t="shared" ref="F17:J17" si="7">F13</f>
        <v>1045.292708789106</v>
      </c>
      <c r="G17" s="61">
        <f t="shared" si="7"/>
        <v>1036.2032069735483</v>
      </c>
      <c r="H17" s="61">
        <f t="shared" si="7"/>
        <v>1027.1137051579908</v>
      </c>
      <c r="I17" s="61">
        <f t="shared" si="7"/>
        <v>1018.0242033424335</v>
      </c>
      <c r="J17" s="61">
        <f t="shared" si="7"/>
        <v>1008.934701526876</v>
      </c>
      <c r="K17" s="2"/>
      <c r="L17" s="2"/>
      <c r="M17" s="2"/>
      <c r="N17" s="2"/>
    </row>
    <row r="18" spans="2:14">
      <c r="B18" s="2" t="s">
        <v>8</v>
      </c>
      <c r="C18" s="2"/>
      <c r="D18" s="2"/>
      <c r="E18" s="60"/>
      <c r="F18" s="60">
        <f>MEDIAN('Data Sheet'!$G$87:$K$87)*('DCF Modelling'!F16)</f>
        <v>-1017.8916999585415</v>
      </c>
      <c r="G18" s="60">
        <f>MEDIAN('Data Sheet'!$G$87:$K$87)*('DCF Modelling'!G16)</f>
        <v>-1009.0404677849887</v>
      </c>
      <c r="H18" s="60">
        <f>MEDIAN('Data Sheet'!$G$87:$K$87)*('DCF Modelling'!H16)</f>
        <v>-1000.1892356114363</v>
      </c>
      <c r="I18" s="60">
        <f>MEDIAN('Data Sheet'!$G$87:$K$87)*('DCF Modelling'!I16)</f>
        <v>-991.3380034378838</v>
      </c>
      <c r="J18" s="60">
        <f>MEDIAN('Data Sheet'!$G$87:$K$87)*('DCF Modelling'!J16)</f>
        <v>-982.48677126433131</v>
      </c>
      <c r="K18" s="2"/>
      <c r="L18" s="2"/>
      <c r="M18" s="2"/>
      <c r="N18" s="2"/>
    </row>
    <row r="19" spans="2:14">
      <c r="B19" s="2" t="s">
        <v>9</v>
      </c>
      <c r="C19" s="2"/>
      <c r="D19" s="2"/>
      <c r="E19" s="66"/>
      <c r="F19" s="66">
        <f>AVERAGE('Data Sheet'!$G$76:$K$76)*'DCF Modelling'!F$16</f>
        <v>-1228.8439090441693</v>
      </c>
      <c r="G19" s="66">
        <f>AVERAGE('Data Sheet'!$G$76:$K$76)*'DCF Modelling'!G$16</f>
        <v>-1218.1583098350893</v>
      </c>
      <c r="H19" s="66">
        <f>AVERAGE('Data Sheet'!$G$76:$K$76)*'DCF Modelling'!H$16</f>
        <v>-1207.4727106260098</v>
      </c>
      <c r="I19" s="66">
        <f>AVERAGE('Data Sheet'!$G$76:$K$76)*'DCF Modelling'!I$16</f>
        <v>-1196.7871114169302</v>
      </c>
      <c r="J19" s="66">
        <f>AVERAGE('Data Sheet'!$G$76:$K$76)*'DCF Modelling'!J$16</f>
        <v>-1186.1015122078504</v>
      </c>
      <c r="K19" s="2"/>
      <c r="L19" s="2"/>
    </row>
    <row r="20" spans="2:14">
      <c r="B20" s="134" t="s">
        <v>10</v>
      </c>
      <c r="C20" s="134"/>
      <c r="D20" s="135"/>
      <c r="E20" s="136"/>
      <c r="F20" s="136">
        <f t="shared" ref="F20:J20" si="8">SUM(F16:F19)</f>
        <v>4955.6098812683322</v>
      </c>
      <c r="G20" s="136">
        <f t="shared" si="8"/>
        <v>4912.5176214312169</v>
      </c>
      <c r="H20" s="136">
        <f t="shared" si="8"/>
        <v>4869.4253615941007</v>
      </c>
      <c r="I20" s="136">
        <f t="shared" si="8"/>
        <v>4826.3331017569853</v>
      </c>
      <c r="J20" s="136">
        <f t="shared" si="8"/>
        <v>4783.2408419198682</v>
      </c>
      <c r="K20" s="2"/>
      <c r="L20" s="2"/>
    </row>
    <row r="21" spans="2:14">
      <c r="B21" s="2"/>
      <c r="C21" s="2"/>
      <c r="D21" s="17"/>
      <c r="E21" s="63"/>
      <c r="F21" s="63"/>
      <c r="G21" s="63"/>
      <c r="H21" s="63"/>
      <c r="I21" s="63"/>
      <c r="J21" s="63"/>
    </row>
    <row r="22" spans="2:14" ht="15" customHeight="1">
      <c r="B22" s="165" t="s">
        <v>183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</row>
    <row r="23" spans="2:14" ht="1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</row>
    <row r="24" spans="2:14">
      <c r="B24" s="2"/>
      <c r="C24" s="2"/>
      <c r="D24" s="3"/>
      <c r="E24" s="2"/>
      <c r="F24" s="2"/>
      <c r="G24" s="2"/>
      <c r="H24" s="2"/>
      <c r="I24" s="2"/>
      <c r="J24" s="2"/>
    </row>
    <row r="25" spans="2:14">
      <c r="B25" s="2" t="s">
        <v>184</v>
      </c>
      <c r="C25" s="2"/>
      <c r="D25" s="3"/>
      <c r="E25" s="2"/>
      <c r="F25" s="2">
        <f>J20</f>
        <v>4783.2408419198682</v>
      </c>
      <c r="G25" s="2"/>
      <c r="H25" s="2"/>
      <c r="I25" s="2"/>
      <c r="J25" s="2"/>
    </row>
    <row r="26" spans="2:14">
      <c r="B26" t="s">
        <v>185</v>
      </c>
      <c r="E26" s="2"/>
      <c r="F26" s="65">
        <f>'Key Assumption '!G10</f>
        <v>6.2E-2</v>
      </c>
      <c r="G26" s="2"/>
      <c r="H26" s="2"/>
      <c r="I26" s="2"/>
      <c r="J26" s="2"/>
    </row>
    <row r="28" spans="2:14">
      <c r="B28" s="133" t="s">
        <v>186</v>
      </c>
      <c r="C28" s="133"/>
      <c r="D28" s="133"/>
      <c r="E28" s="133"/>
      <c r="F28" s="174">
        <f>F25*(1+F26)/(WACC!L21-'DCF Modelling'!F26)</f>
        <v>95825.921901292255</v>
      </c>
    </row>
    <row r="31" spans="2:14">
      <c r="B31" s="166" t="s">
        <v>187</v>
      </c>
      <c r="C31" s="166"/>
      <c r="D31" s="166"/>
      <c r="E31" s="166"/>
      <c r="F31" s="166"/>
      <c r="G31" s="166"/>
      <c r="H31" s="166"/>
      <c r="I31" s="166"/>
      <c r="J31" s="166"/>
      <c r="K31" s="166"/>
      <c r="L31" s="166"/>
    </row>
    <row r="32" spans="2:14"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</row>
    <row r="34" spans="2:25">
      <c r="B34" s="36" t="s">
        <v>181</v>
      </c>
      <c r="C34" s="36"/>
      <c r="D34" s="36"/>
      <c r="E34" s="36"/>
      <c r="F34" s="119">
        <f>F6</f>
        <v>2026</v>
      </c>
      <c r="G34" s="119">
        <f t="shared" ref="G34:J34" si="9">G6</f>
        <v>2027</v>
      </c>
      <c r="H34" s="119">
        <f t="shared" si="9"/>
        <v>2028</v>
      </c>
      <c r="I34" s="119">
        <f t="shared" si="9"/>
        <v>2029</v>
      </c>
      <c r="J34" s="119">
        <f t="shared" si="9"/>
        <v>2030</v>
      </c>
      <c r="K34" s="119" t="str">
        <f>B28</f>
        <v xml:space="preserve">Terminal Value </v>
      </c>
      <c r="L34" s="119"/>
    </row>
    <row r="35" spans="2:25">
      <c r="B35" t="s">
        <v>188</v>
      </c>
      <c r="F35" s="120">
        <f>F20</f>
        <v>4955.6098812683322</v>
      </c>
      <c r="G35" s="120">
        <f t="shared" ref="G35:J35" si="10">G20</f>
        <v>4912.5176214312169</v>
      </c>
      <c r="H35" s="120">
        <f t="shared" si="10"/>
        <v>4869.4253615941007</v>
      </c>
      <c r="I35" s="120">
        <f t="shared" si="10"/>
        <v>4826.3331017569853</v>
      </c>
      <c r="J35" s="120">
        <f t="shared" si="10"/>
        <v>4783.2408419198682</v>
      </c>
      <c r="K35" s="120">
        <f>F28</f>
        <v>95825.921901292255</v>
      </c>
    </row>
    <row r="36" spans="2:25">
      <c r="B36" t="s">
        <v>189</v>
      </c>
      <c r="F36" s="53">
        <f>WACC!$L$21</f>
        <v>0.11501072688193358</v>
      </c>
      <c r="G36" s="53">
        <f>WACC!$L$21</f>
        <v>0.11501072688193358</v>
      </c>
      <c r="H36" s="53">
        <f>WACC!$L$21</f>
        <v>0.11501072688193358</v>
      </c>
      <c r="I36" s="53">
        <f>WACC!$L$21</f>
        <v>0.11501072688193358</v>
      </c>
      <c r="J36" s="53">
        <f>WACC!$L$21</f>
        <v>0.11501072688193358</v>
      </c>
      <c r="K36" s="53">
        <f>WACC!$L$21</f>
        <v>0.11501072688193358</v>
      </c>
    </row>
    <row r="37" spans="2:25">
      <c r="B37" s="139" t="s">
        <v>182</v>
      </c>
      <c r="C37" s="139"/>
      <c r="D37" s="139"/>
      <c r="E37" s="139"/>
      <c r="F37" s="175">
        <f>F35/(1+F36)^F8</f>
        <v>4444.4504091242452</v>
      </c>
      <c r="G37" s="175">
        <f t="shared" ref="G37:J37" si="11">G35/(1+G36)^G8</f>
        <v>3951.3548238077342</v>
      </c>
      <c r="H37" s="175">
        <f t="shared" si="11"/>
        <v>3512.6960863723439</v>
      </c>
      <c r="I37" s="175">
        <f t="shared" si="11"/>
        <v>3122.4903907735352</v>
      </c>
      <c r="J37" s="175">
        <f t="shared" si="11"/>
        <v>2775.4091845720582</v>
      </c>
      <c r="K37" s="175">
        <f>K35/(1+K36)^5</f>
        <v>55601.662670655613</v>
      </c>
      <c r="L37" s="139"/>
    </row>
    <row r="40" spans="2:25">
      <c r="B40" s="167" t="s">
        <v>190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</row>
    <row r="41" spans="2:25"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</row>
    <row r="42" spans="2:25">
      <c r="M42" s="2"/>
      <c r="N42" s="2"/>
    </row>
    <row r="43" spans="2:25" ht="21" customHeight="1">
      <c r="B43" s="161" t="s">
        <v>202</v>
      </c>
      <c r="C43" s="161"/>
      <c r="D43" s="161"/>
      <c r="E43" s="161"/>
      <c r="F43" s="161" t="s">
        <v>191</v>
      </c>
      <c r="G43" s="161"/>
      <c r="H43" s="161"/>
      <c r="I43" s="161"/>
      <c r="J43" s="161" t="s">
        <v>192</v>
      </c>
      <c r="K43" s="161"/>
      <c r="L43" s="161"/>
    </row>
    <row r="44" spans="2:25">
      <c r="X44" s="7"/>
      <c r="Y44" s="7"/>
    </row>
    <row r="45" spans="2:25" ht="18.75">
      <c r="B45" s="162">
        <f>SUM(F37:J37)</f>
        <v>17806.400894649916</v>
      </c>
      <c r="C45" s="162"/>
      <c r="D45" s="162"/>
      <c r="E45" s="162"/>
      <c r="F45" s="162">
        <f>K37</f>
        <v>55601.662670655613</v>
      </c>
      <c r="G45" s="163"/>
      <c r="H45" s="163"/>
      <c r="I45" s="163"/>
      <c r="J45" s="162">
        <f>SUM(B44:I45)</f>
        <v>73408.063565305521</v>
      </c>
      <c r="K45" s="162"/>
      <c r="L45" s="162"/>
      <c r="M45" s="7"/>
      <c r="N45" s="7"/>
    </row>
    <row r="46" spans="2:25">
      <c r="M46" s="7"/>
      <c r="N46" s="7"/>
    </row>
    <row r="47" spans="2:25">
      <c r="B47" s="121" t="s">
        <v>193</v>
      </c>
      <c r="C47" s="121"/>
      <c r="D47" s="121"/>
      <c r="E47" s="121"/>
      <c r="F47" s="121"/>
      <c r="G47" s="121"/>
      <c r="H47" s="123">
        <f>J45</f>
        <v>73408.063565305521</v>
      </c>
      <c r="I47" s="7"/>
      <c r="J47" s="7"/>
    </row>
    <row r="48" spans="2:25">
      <c r="B48" t="s">
        <v>194</v>
      </c>
      <c r="H48" s="124">
        <f>WACC!L9</f>
        <v>3557.09</v>
      </c>
      <c r="I48" s="7"/>
      <c r="J48" s="7"/>
    </row>
    <row r="49" spans="2:12" ht="15.75" thickBot="1">
      <c r="B49" t="s">
        <v>195</v>
      </c>
      <c r="H49" s="128">
        <f>'Data Sheet'!K69</f>
        <v>781.98</v>
      </c>
      <c r="I49" s="7"/>
      <c r="J49" s="7"/>
    </row>
    <row r="50" spans="2:12">
      <c r="B50" s="129" t="s">
        <v>172</v>
      </c>
      <c r="C50" s="129"/>
      <c r="D50" s="129"/>
      <c r="E50" s="129"/>
      <c r="F50" s="129"/>
      <c r="G50" s="129"/>
      <c r="H50" s="130">
        <f>H47-H48+H49</f>
        <v>70632.953565305521</v>
      </c>
    </row>
    <row r="51" spans="2:12">
      <c r="B51" t="s">
        <v>196</v>
      </c>
      <c r="H51" s="122">
        <f>'Data Sheet'!K93</f>
        <v>95.92</v>
      </c>
      <c r="I51" s="7"/>
      <c r="J51" s="7"/>
    </row>
    <row r="52" spans="2:12">
      <c r="B52" s="131" t="s">
        <v>197</v>
      </c>
      <c r="C52" s="131"/>
      <c r="D52" s="131"/>
      <c r="E52" s="131"/>
      <c r="F52" s="131"/>
      <c r="G52" s="131"/>
      <c r="H52" s="132">
        <f>H50/H51</f>
        <v>736.37357761994917</v>
      </c>
    </row>
    <row r="53" spans="2:12">
      <c r="B53" t="s">
        <v>198</v>
      </c>
      <c r="H53" s="126">
        <f>Comp!D4</f>
        <v>2287.8000000000002</v>
      </c>
    </row>
    <row r="54" spans="2:12">
      <c r="B54" t="s">
        <v>199</v>
      </c>
      <c r="H54" s="125">
        <f>(H52/H53)-1</f>
        <v>-0.67813026592361703</v>
      </c>
    </row>
    <row r="57" spans="2:12" ht="18.75">
      <c r="B57" s="157" t="s">
        <v>200</v>
      </c>
      <c r="C57" s="157"/>
      <c r="D57" s="157"/>
      <c r="E57" s="157"/>
      <c r="F57" s="157"/>
      <c r="G57" s="157"/>
      <c r="H57" s="157"/>
      <c r="I57" s="157"/>
      <c r="J57" s="157"/>
      <c r="K57" s="157"/>
      <c r="L57" s="157"/>
    </row>
    <row r="58" spans="2:12">
      <c r="B58" s="36" t="s">
        <v>201</v>
      </c>
      <c r="C58" s="36"/>
      <c r="D58" s="36"/>
      <c r="E58" s="53">
        <f>WACC!L21</f>
        <v>0.11501072688193358</v>
      </c>
      <c r="F58" s="53">
        <f>'Key Assumption '!G10</f>
        <v>6.2E-2</v>
      </c>
    </row>
    <row r="59" spans="2:12">
      <c r="B59" s="176">
        <f>H52</f>
        <v>736.37357761994917</v>
      </c>
      <c r="C59" s="153">
        <f t="shared" ref="C59:D59" si="12">D59-1%</f>
        <v>8.501072688193359E-2</v>
      </c>
      <c r="D59" s="153">
        <f t="shared" si="12"/>
        <v>9.5010726881933585E-2</v>
      </c>
      <c r="E59" s="153">
        <f>F59-1%</f>
        <v>0.10501072688193358</v>
      </c>
      <c r="F59" s="153">
        <f>WACC!L21</f>
        <v>0.11501072688193358</v>
      </c>
      <c r="G59" s="154">
        <f>F59+1%</f>
        <v>0.12501072688193357</v>
      </c>
      <c r="H59" s="154">
        <f t="shared" ref="H59:I59" si="13">G59+1%</f>
        <v>0.13501072688193358</v>
      </c>
      <c r="I59" s="154">
        <f t="shared" si="13"/>
        <v>0.14501072688193359</v>
      </c>
      <c r="J59" s="36"/>
    </row>
    <row r="60" spans="2:12">
      <c r="B60" s="108">
        <f>B61-1%</f>
        <v>4.1999999999999996E-2</v>
      </c>
      <c r="C60">
        <f t="dataTable" ref="C60:I64" dt2D="1" dtr="1" r1="E58" r2="F58"/>
        <v>736.37357761994917</v>
      </c>
      <c r="D60">
        <v>736.37357761994917</v>
      </c>
      <c r="E60" s="171">
        <v>736.37357761994917</v>
      </c>
      <c r="F60" s="171">
        <v>736.37357761994917</v>
      </c>
      <c r="G60" s="171">
        <v>736.37357761994917</v>
      </c>
      <c r="H60" s="171">
        <v>736.37357761994917</v>
      </c>
      <c r="I60" s="171">
        <v>736.37357761994917</v>
      </c>
      <c r="J60" s="171"/>
      <c r="K60" s="171"/>
    </row>
    <row r="61" spans="2:12">
      <c r="B61" s="108">
        <f>B62-1%</f>
        <v>5.1999999999999998E-2</v>
      </c>
      <c r="C61">
        <v>736.37357761994917</v>
      </c>
      <c r="D61">
        <v>736.37357761994917</v>
      </c>
      <c r="E61" s="171">
        <v>736.37357761994917</v>
      </c>
      <c r="F61" s="171">
        <v>736.37357761994917</v>
      </c>
      <c r="G61" s="171">
        <v>736.37357761994917</v>
      </c>
      <c r="H61" s="171">
        <v>736.37357761994917</v>
      </c>
      <c r="I61" s="171">
        <v>736.37357761994917</v>
      </c>
      <c r="J61" s="171"/>
      <c r="K61" s="171"/>
    </row>
    <row r="62" spans="2:12">
      <c r="B62" s="151">
        <f>'Key Assumption '!G10</f>
        <v>6.2E-2</v>
      </c>
      <c r="C62">
        <v>736.37357761994917</v>
      </c>
      <c r="D62">
        <v>736.37357761994917</v>
      </c>
      <c r="E62" s="171">
        <v>736.37357761994917</v>
      </c>
      <c r="F62" s="172">
        <v>736.37357761994917</v>
      </c>
      <c r="G62" s="171">
        <v>736.37357761994917</v>
      </c>
      <c r="H62">
        <v>736.37357761994917</v>
      </c>
      <c r="I62" s="171">
        <v>736.37357761994917</v>
      </c>
      <c r="J62" s="171"/>
      <c r="K62" s="171"/>
    </row>
    <row r="63" spans="2:12">
      <c r="B63" s="152">
        <f>B62+1%</f>
        <v>7.1999999999999995E-2</v>
      </c>
      <c r="C63">
        <v>736.37357761994917</v>
      </c>
      <c r="D63">
        <v>736.37357761994917</v>
      </c>
      <c r="E63" s="171">
        <v>736.37357761994917</v>
      </c>
      <c r="F63" s="171">
        <v>736.37357761994917</v>
      </c>
      <c r="G63" s="171">
        <v>736.37357761994917</v>
      </c>
      <c r="H63" s="171">
        <v>736.37357761994917</v>
      </c>
      <c r="I63" s="171">
        <v>736.37357761994917</v>
      </c>
      <c r="J63" s="171"/>
      <c r="K63" s="171"/>
    </row>
    <row r="64" spans="2:12">
      <c r="B64" s="152">
        <f>B63+1%</f>
        <v>8.199999999999999E-2</v>
      </c>
      <c r="C64">
        <v>736.37357761994917</v>
      </c>
      <c r="D64">
        <v>736.37357761994917</v>
      </c>
      <c r="E64" s="173">
        <v>736.37357761994917</v>
      </c>
      <c r="F64" s="173">
        <v>736.37357761994917</v>
      </c>
      <c r="G64" s="173">
        <v>736.37357761994917</v>
      </c>
      <c r="H64" s="173">
        <v>736.37357761994917</v>
      </c>
      <c r="I64" s="173">
        <v>736.37357761994917</v>
      </c>
      <c r="J64" s="173"/>
      <c r="K64" s="173"/>
      <c r="L64" s="2"/>
    </row>
    <row r="65" spans="2:12">
      <c r="B65" s="5"/>
      <c r="C65" s="2"/>
      <c r="D65" s="3"/>
      <c r="E65" s="2"/>
      <c r="F65" s="2"/>
      <c r="G65" s="2"/>
      <c r="H65" s="177"/>
      <c r="I65" s="2"/>
      <c r="J65" s="2"/>
    </row>
    <row r="66" spans="2:12">
      <c r="B66" s="2"/>
      <c r="C66" s="2"/>
      <c r="D66" s="3"/>
      <c r="E66" s="2"/>
      <c r="F66" s="2"/>
      <c r="G66" s="2"/>
      <c r="H66" s="2"/>
      <c r="I66" s="2"/>
      <c r="J66" s="2"/>
    </row>
    <row r="67" spans="2:12" ht="18">
      <c r="B67" s="178" t="s">
        <v>203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</row>
    <row r="68" spans="2:12">
      <c r="B68" s="18"/>
    </row>
    <row r="69" spans="2:12">
      <c r="B69" s="180" t="s">
        <v>204</v>
      </c>
    </row>
    <row r="74" spans="2:12">
      <c r="B74" t="s">
        <v>205</v>
      </c>
    </row>
  </sheetData>
  <mergeCells count="12">
    <mergeCell ref="B2:L3"/>
    <mergeCell ref="B22:L23"/>
    <mergeCell ref="B31:L32"/>
    <mergeCell ref="B40:L41"/>
    <mergeCell ref="B67:L67"/>
    <mergeCell ref="B57:L57"/>
    <mergeCell ref="B43:E43"/>
    <mergeCell ref="B45:E45"/>
    <mergeCell ref="F43:I43"/>
    <mergeCell ref="J43:L43"/>
    <mergeCell ref="F45:I45"/>
    <mergeCell ref="J45:L4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2:Q31"/>
  <sheetViews>
    <sheetView tabSelected="1" zoomScaleNormal="100" workbookViewId="0">
      <selection activeCell="I30" sqref="I30"/>
    </sheetView>
  </sheetViews>
  <sheetFormatPr defaultRowHeight="15" outlineLevelRow="1"/>
  <cols>
    <col min="1" max="1" width="1.85546875" style="185" customWidth="1"/>
    <col min="2" max="2" width="2" customWidth="1"/>
    <col min="3" max="3" width="14.140625" bestFit="1" customWidth="1"/>
    <col min="4" max="4" width="8" customWidth="1"/>
    <col min="5" max="5" width="13.7109375" bestFit="1" customWidth="1"/>
    <col min="6" max="6" width="13.42578125" bestFit="1" customWidth="1"/>
    <col min="7" max="7" width="11.85546875" customWidth="1"/>
    <col min="8" max="8" width="10.7109375" customWidth="1"/>
    <col min="9" max="10" width="10" customWidth="1"/>
    <col min="11" max="11" width="13.5703125" customWidth="1"/>
    <col min="12" max="12" width="12.28515625" bestFit="1" customWidth="1"/>
    <col min="13" max="13" width="11" bestFit="1" customWidth="1"/>
    <col min="14" max="14" width="13.28515625" bestFit="1" customWidth="1"/>
    <col min="17" max="17" width="11" customWidth="1"/>
  </cols>
  <sheetData>
    <row r="2" spans="2:17" ht="18.75">
      <c r="B2" s="168" t="s">
        <v>237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27"/>
      <c r="P2" s="27"/>
      <c r="Q2" s="27"/>
    </row>
    <row r="3" spans="2:17" ht="45" hidden="1" outlineLevel="1">
      <c r="B3" s="27"/>
      <c r="C3" s="36" t="s">
        <v>142</v>
      </c>
      <c r="D3" s="36" t="s">
        <v>152</v>
      </c>
      <c r="E3" s="99" t="s">
        <v>153</v>
      </c>
      <c r="F3" s="99" t="s">
        <v>154</v>
      </c>
      <c r="G3" s="99" t="s">
        <v>143</v>
      </c>
      <c r="H3" s="99" t="s">
        <v>155</v>
      </c>
      <c r="I3" s="99" t="s">
        <v>144</v>
      </c>
      <c r="J3" s="99" t="s">
        <v>145</v>
      </c>
      <c r="K3" s="99" t="s">
        <v>146</v>
      </c>
      <c r="L3" s="99" t="s">
        <v>156</v>
      </c>
      <c r="M3" s="99" t="s">
        <v>158</v>
      </c>
      <c r="N3" s="36" t="s">
        <v>137</v>
      </c>
      <c r="O3" s="36" t="s">
        <v>72</v>
      </c>
      <c r="P3" s="36" t="s">
        <v>247</v>
      </c>
      <c r="Q3" s="99" t="s">
        <v>248</v>
      </c>
    </row>
    <row r="4" spans="2:17" hidden="1" outlineLevel="1">
      <c r="B4">
        <v>1</v>
      </c>
      <c r="C4" s="35" t="s">
        <v>147</v>
      </c>
      <c r="D4" s="35">
        <v>2287.8000000000002</v>
      </c>
      <c r="E4" s="35">
        <v>219402.07</v>
      </c>
      <c r="F4" s="35">
        <v>3557.09</v>
      </c>
      <c r="G4" s="35">
        <v>0.18</v>
      </c>
      <c r="H4" s="35">
        <v>221948.49</v>
      </c>
      <c r="I4" s="35">
        <v>30.99</v>
      </c>
      <c r="J4" s="35">
        <v>53.77</v>
      </c>
      <c r="K4" s="35">
        <v>1000999</v>
      </c>
      <c r="L4" s="35">
        <v>95.92</v>
      </c>
      <c r="M4" s="35">
        <v>34695.75</v>
      </c>
      <c r="N4" s="35">
        <f>E13</f>
        <v>0.89286828311825761</v>
      </c>
      <c r="O4">
        <v>3910.03</v>
      </c>
      <c r="P4">
        <v>40.090000000000003</v>
      </c>
      <c r="Q4">
        <v>1010.67</v>
      </c>
    </row>
    <row r="5" spans="2:17" hidden="1" outlineLevel="1">
      <c r="B5">
        <v>2</v>
      </c>
      <c r="C5" s="35" t="s">
        <v>148</v>
      </c>
      <c r="D5" s="35">
        <v>434.8</v>
      </c>
      <c r="E5" s="35">
        <v>50725.120000000003</v>
      </c>
      <c r="F5" s="35">
        <v>697.33</v>
      </c>
      <c r="G5" s="35">
        <v>0.11</v>
      </c>
      <c r="H5" s="35">
        <v>50972.62</v>
      </c>
      <c r="I5" s="35">
        <v>26.4</v>
      </c>
      <c r="J5" s="35">
        <v>45.27</v>
      </c>
      <c r="K5" s="35">
        <v>323008</v>
      </c>
      <c r="L5" s="35">
        <v>116.6</v>
      </c>
      <c r="M5" s="35">
        <v>11716.25</v>
      </c>
      <c r="N5" s="35">
        <f>E13</f>
        <v>0.89286828311825761</v>
      </c>
      <c r="O5">
        <v>1055.68</v>
      </c>
      <c r="P5">
        <v>9.0399999999999991</v>
      </c>
      <c r="Q5">
        <v>449.83</v>
      </c>
    </row>
    <row r="6" spans="2:17" hidden="1" outlineLevel="1">
      <c r="B6">
        <v>3</v>
      </c>
      <c r="C6" s="35" t="s">
        <v>149</v>
      </c>
      <c r="D6" s="35">
        <v>193.38</v>
      </c>
      <c r="E6" s="35">
        <v>15653.72</v>
      </c>
      <c r="F6" s="35">
        <v>276.42</v>
      </c>
      <c r="G6" s="35">
        <v>0.04</v>
      </c>
      <c r="H6" s="35">
        <v>15662.83</v>
      </c>
      <c r="I6" s="35">
        <v>14.54</v>
      </c>
      <c r="J6" s="35">
        <v>25.34</v>
      </c>
      <c r="K6" s="35">
        <v>151213</v>
      </c>
      <c r="L6" s="35">
        <v>80.849999999999994</v>
      </c>
      <c r="M6" s="35">
        <v>7914.85</v>
      </c>
      <c r="N6" s="35">
        <f>E14</f>
        <v>0.84425099874426823</v>
      </c>
      <c r="O6">
        <v>568.38</v>
      </c>
      <c r="P6">
        <v>7.24</v>
      </c>
      <c r="Q6">
        <v>267.31</v>
      </c>
    </row>
    <row r="7" spans="2:17" hidden="1" outlineLevel="1">
      <c r="B7">
        <v>4</v>
      </c>
      <c r="C7" s="35" t="s">
        <v>150</v>
      </c>
      <c r="D7" s="35">
        <v>2835.5</v>
      </c>
      <c r="E7" s="35">
        <v>12923.89</v>
      </c>
      <c r="F7" s="35">
        <v>71.2</v>
      </c>
      <c r="G7" s="35">
        <v>0.03</v>
      </c>
      <c r="H7" s="35">
        <v>12721.09</v>
      </c>
      <c r="I7" s="35">
        <v>22.17</v>
      </c>
      <c r="J7" s="35">
        <v>34.33</v>
      </c>
      <c r="K7" s="35">
        <v>50314</v>
      </c>
      <c r="L7" s="35">
        <v>45.5</v>
      </c>
      <c r="M7" s="35">
        <v>3759.8</v>
      </c>
      <c r="N7" s="35">
        <f>E15</f>
        <v>0.5265611962450647</v>
      </c>
      <c r="O7">
        <v>1955.3</v>
      </c>
      <c r="P7">
        <v>429.36</v>
      </c>
      <c r="Q7">
        <v>274</v>
      </c>
    </row>
    <row r="8" spans="2:17" hidden="1" outlineLevel="1">
      <c r="B8">
        <v>5</v>
      </c>
      <c r="C8" s="35" t="s">
        <v>151</v>
      </c>
      <c r="D8" s="35">
        <v>900.3</v>
      </c>
      <c r="E8" s="35">
        <v>4305.51</v>
      </c>
      <c r="F8" s="35">
        <v>17.64</v>
      </c>
      <c r="G8" s="35">
        <v>0.02</v>
      </c>
      <c r="H8" s="35">
        <v>4314.0600000000004</v>
      </c>
      <c r="I8" s="35">
        <v>16.690000000000001</v>
      </c>
      <c r="J8" s="35">
        <v>28.87</v>
      </c>
      <c r="K8" s="35">
        <v>142630</v>
      </c>
      <c r="L8" s="35">
        <v>47.68</v>
      </c>
      <c r="M8" s="35">
        <v>1299.42</v>
      </c>
      <c r="N8" s="35">
        <f>E16</f>
        <v>0.77568816904800697</v>
      </c>
      <c r="O8">
        <v>144.94999999999999</v>
      </c>
      <c r="P8">
        <v>30.42</v>
      </c>
      <c r="Q8">
        <v>9.09</v>
      </c>
    </row>
    <row r="9" spans="2:17" collapsed="1">
      <c r="C9" s="97"/>
      <c r="D9" s="98"/>
      <c r="E9" s="98"/>
      <c r="F9" s="98"/>
      <c r="G9" s="97"/>
      <c r="H9" s="97"/>
      <c r="I9" s="97"/>
      <c r="J9" s="97"/>
      <c r="K9" s="98"/>
      <c r="L9" s="98"/>
      <c r="M9" s="98"/>
      <c r="N9" s="97"/>
      <c r="O9" s="98"/>
      <c r="P9" s="98"/>
      <c r="Q9" s="98"/>
    </row>
    <row r="10" spans="2:17">
      <c r="C10" s="35"/>
      <c r="E10" s="35"/>
      <c r="G10" s="35"/>
      <c r="H10" s="35"/>
      <c r="I10" s="35"/>
      <c r="J10" s="35"/>
      <c r="K10" s="35"/>
      <c r="L10" s="35"/>
      <c r="M10" s="35"/>
      <c r="N10" s="35"/>
    </row>
    <row r="11" spans="2:17" ht="18.75">
      <c r="B11" s="157" t="s">
        <v>169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07"/>
      <c r="N11" s="107"/>
    </row>
    <row r="12" spans="2:17" ht="30" hidden="1" outlineLevel="1">
      <c r="B12" s="27"/>
      <c r="C12" s="36" t="s">
        <v>142</v>
      </c>
      <c r="D12" s="27"/>
      <c r="E12" s="104" t="s">
        <v>137</v>
      </c>
      <c r="F12" s="99" t="s">
        <v>172</v>
      </c>
      <c r="G12" s="99" t="s">
        <v>173</v>
      </c>
      <c r="H12" s="36" t="s">
        <v>143</v>
      </c>
      <c r="I12" s="99" t="s">
        <v>174</v>
      </c>
      <c r="J12" s="36" t="s">
        <v>175</v>
      </c>
      <c r="K12" s="99" t="s">
        <v>177</v>
      </c>
      <c r="L12" s="99" t="s">
        <v>176</v>
      </c>
      <c r="M12" s="105"/>
      <c r="N12" s="106"/>
    </row>
    <row r="13" spans="2:17" hidden="1" outlineLevel="1">
      <c r="B13">
        <v>1</v>
      </c>
      <c r="C13" s="35" t="s">
        <v>148</v>
      </c>
      <c r="E13" s="56">
        <f>Beta!J276</f>
        <v>0.89286828311825761</v>
      </c>
      <c r="F13" s="95">
        <f t="shared" ref="F13:H16" si="0">E5</f>
        <v>50725.120000000003</v>
      </c>
      <c r="G13" s="95">
        <f t="shared" si="0"/>
        <v>697.33</v>
      </c>
      <c r="H13" s="53">
        <f t="shared" si="0"/>
        <v>0.11</v>
      </c>
      <c r="I13" s="53">
        <f>G13/(F13+G13)</f>
        <v>1.3560808557351896E-2</v>
      </c>
      <c r="J13" s="30">
        <f>'Key Assumption '!$G$13</f>
        <v>0.24</v>
      </c>
      <c r="K13" s="96">
        <f>E13</f>
        <v>0.89286828311825761</v>
      </c>
      <c r="L13" s="96">
        <f>K13/(1+(1-J13)*H13)</f>
        <v>0.82398328084003092</v>
      </c>
      <c r="M13" s="95"/>
      <c r="N13" s="95"/>
    </row>
    <row r="14" spans="2:17" hidden="1" outlineLevel="1">
      <c r="B14">
        <v>2</v>
      </c>
      <c r="C14" s="35" t="s">
        <v>149</v>
      </c>
      <c r="E14" s="56">
        <f>Beta!M276</f>
        <v>0.84425099874426823</v>
      </c>
      <c r="F14" s="95">
        <f t="shared" si="0"/>
        <v>15653.72</v>
      </c>
      <c r="G14" s="95">
        <f t="shared" si="0"/>
        <v>276.42</v>
      </c>
      <c r="H14" s="53">
        <f t="shared" si="0"/>
        <v>0.04</v>
      </c>
      <c r="I14" s="53">
        <f t="shared" ref="I14:I16" si="1">G14/(F14+G14)</f>
        <v>1.7352013227755689E-2</v>
      </c>
      <c r="J14" s="30">
        <f>'Key Assumption '!$G$13</f>
        <v>0.24</v>
      </c>
      <c r="K14" s="96">
        <f t="shared" ref="K14:K16" si="2">E14</f>
        <v>0.84425099874426823</v>
      </c>
      <c r="L14" s="96">
        <f t="shared" ref="L14:L16" si="3">K14/(1+(1-J14)*H14)</f>
        <v>0.81934297238380072</v>
      </c>
      <c r="M14" s="95"/>
      <c r="N14" s="95"/>
    </row>
    <row r="15" spans="2:17" hidden="1" outlineLevel="1">
      <c r="B15">
        <v>3</v>
      </c>
      <c r="C15" s="35" t="s">
        <v>150</v>
      </c>
      <c r="E15" s="56">
        <f>Beta!P276</f>
        <v>0.5265611962450647</v>
      </c>
      <c r="F15" s="95">
        <f t="shared" si="0"/>
        <v>12923.89</v>
      </c>
      <c r="G15" s="95">
        <f t="shared" si="0"/>
        <v>71.2</v>
      </c>
      <c r="H15" s="53">
        <f t="shared" si="0"/>
        <v>0.03</v>
      </c>
      <c r="I15" s="53">
        <f t="shared" si="1"/>
        <v>5.4789924502254318E-3</v>
      </c>
      <c r="J15" s="30">
        <f>'Key Assumption '!$G$13</f>
        <v>0.24</v>
      </c>
      <c r="K15" s="96">
        <f t="shared" si="2"/>
        <v>0.5265611962450647</v>
      </c>
      <c r="L15" s="96">
        <f t="shared" si="3"/>
        <v>0.51482322667683289</v>
      </c>
      <c r="M15" s="95"/>
      <c r="N15" s="95"/>
    </row>
    <row r="16" spans="2:17" hidden="1" outlineLevel="1">
      <c r="B16">
        <v>4</v>
      </c>
      <c r="C16" s="35" t="s">
        <v>151</v>
      </c>
      <c r="E16" s="56">
        <f>Beta!S276</f>
        <v>0.77568816904800697</v>
      </c>
      <c r="F16" s="95">
        <f t="shared" si="0"/>
        <v>4305.51</v>
      </c>
      <c r="G16" s="95">
        <f t="shared" si="0"/>
        <v>17.64</v>
      </c>
      <c r="H16" s="53">
        <f t="shared" si="0"/>
        <v>0.02</v>
      </c>
      <c r="I16" s="53">
        <f t="shared" si="1"/>
        <v>4.0803580722389918E-3</v>
      </c>
      <c r="J16" s="30">
        <f>'Key Assumption '!$G$13</f>
        <v>0.24</v>
      </c>
      <c r="K16" s="96">
        <f t="shared" si="2"/>
        <v>0.77568816904800697</v>
      </c>
      <c r="L16" s="96">
        <f t="shared" si="3"/>
        <v>0.76407424059102336</v>
      </c>
      <c r="M16" s="95"/>
      <c r="N16" s="95"/>
    </row>
    <row r="17" spans="2:16" hidden="1" outlineLevel="1">
      <c r="B17" s="100"/>
      <c r="C17" s="102" t="s">
        <v>170</v>
      </c>
      <c r="D17" s="100"/>
      <c r="E17" s="100"/>
      <c r="F17" s="100"/>
      <c r="G17" s="100"/>
      <c r="H17" s="109">
        <f>AVERAGE(H13:H16)</f>
        <v>4.9999999999999996E-2</v>
      </c>
      <c r="I17" s="110">
        <f t="shared" ref="I17:L17" si="4">AVERAGE(I13:I16)</f>
        <v>1.0118043076893001E-2</v>
      </c>
      <c r="J17" s="111">
        <f t="shared" si="4"/>
        <v>0.24</v>
      </c>
      <c r="K17" s="112">
        <f t="shared" si="4"/>
        <v>0.75984216178889941</v>
      </c>
      <c r="L17" s="112">
        <f t="shared" si="4"/>
        <v>0.73055593012292208</v>
      </c>
    </row>
    <row r="18" spans="2:16" hidden="1" outlineLevel="1">
      <c r="B18" s="101"/>
      <c r="C18" s="103" t="s">
        <v>171</v>
      </c>
      <c r="D18" s="101"/>
      <c r="E18" s="101"/>
      <c r="F18" s="101"/>
      <c r="G18" s="101"/>
      <c r="H18" s="113">
        <f>MEDIAN(H13:H16)</f>
        <v>3.5000000000000003E-2</v>
      </c>
      <c r="I18" s="114">
        <f t="shared" ref="I18:L18" si="5">MEDIAN(I13:I16)</f>
        <v>9.5199005037886648E-3</v>
      </c>
      <c r="J18" s="115">
        <f t="shared" si="5"/>
        <v>0.24</v>
      </c>
      <c r="K18" s="116">
        <f t="shared" si="5"/>
        <v>0.8099695838961376</v>
      </c>
      <c r="L18" s="116">
        <f t="shared" si="5"/>
        <v>0.79170860648741204</v>
      </c>
    </row>
    <row r="19" spans="2:16" collapsed="1"/>
    <row r="21" spans="2:16" ht="18.75">
      <c r="B21" s="168" t="s">
        <v>157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27"/>
    </row>
    <row r="22" spans="2:16" ht="30">
      <c r="B22" s="27"/>
      <c r="C22" s="36" t="s">
        <v>142</v>
      </c>
      <c r="D22" s="36" t="s">
        <v>238</v>
      </c>
      <c r="E22" s="36" t="s">
        <v>239</v>
      </c>
      <c r="F22" s="36" t="s">
        <v>240</v>
      </c>
      <c r="G22" s="99" t="s">
        <v>11</v>
      </c>
      <c r="H22" s="36" t="s">
        <v>241</v>
      </c>
      <c r="I22" s="99" t="s">
        <v>242</v>
      </c>
      <c r="J22" s="99" t="s">
        <v>243</v>
      </c>
      <c r="K22" s="99" t="s">
        <v>23</v>
      </c>
      <c r="L22" s="99" t="s">
        <v>244</v>
      </c>
      <c r="M22" s="99" t="s">
        <v>245</v>
      </c>
      <c r="N22" s="99" t="s">
        <v>246</v>
      </c>
      <c r="O22" s="99" t="s">
        <v>145</v>
      </c>
      <c r="P22" s="181"/>
    </row>
    <row r="23" spans="2:16">
      <c r="B23">
        <v>1</v>
      </c>
      <c r="C23" s="35" t="s">
        <v>147</v>
      </c>
      <c r="E23" s="171">
        <f>D4</f>
        <v>2287.8000000000002</v>
      </c>
      <c r="F23" s="171">
        <f>K4</f>
        <v>1000999</v>
      </c>
      <c r="G23" s="171">
        <f>E4</f>
        <v>219402.07</v>
      </c>
      <c r="H23" s="171">
        <f>F4</f>
        <v>3557.09</v>
      </c>
      <c r="I23" s="171">
        <f>G23+H23-Q4</f>
        <v>221948.49</v>
      </c>
      <c r="J23" s="171">
        <f>I23/M23</f>
        <v>7161.9390125847049</v>
      </c>
      <c r="K23" s="171">
        <f>M4</f>
        <v>34695.75</v>
      </c>
      <c r="L23" s="171">
        <f>O4</f>
        <v>3910.03</v>
      </c>
      <c r="M23" s="186">
        <f>I4</f>
        <v>30.99</v>
      </c>
      <c r="N23" s="186">
        <f>I23/K23</f>
        <v>6.3969935799053195</v>
      </c>
      <c r="O23" s="186">
        <f>G23/L23</f>
        <v>56.11263084937967</v>
      </c>
    </row>
    <row r="24" spans="2:16">
      <c r="B24">
        <v>2</v>
      </c>
      <c r="C24" s="35" t="s">
        <v>148</v>
      </c>
      <c r="E24" s="171">
        <f t="shared" ref="E24:E27" si="6">D5</f>
        <v>434.8</v>
      </c>
      <c r="F24" s="171">
        <f t="shared" ref="F24:F27" si="7">K5</f>
        <v>323008</v>
      </c>
      <c r="G24" s="171">
        <f t="shared" ref="G24:G27" si="8">E5</f>
        <v>50725.120000000003</v>
      </c>
      <c r="H24" s="171">
        <f t="shared" ref="H24:H27" si="9">F5</f>
        <v>697.33</v>
      </c>
      <c r="I24" s="171">
        <f t="shared" ref="I24:I27" si="10">G24+H24-Q5</f>
        <v>50972.62</v>
      </c>
      <c r="J24" s="171">
        <f t="shared" ref="J24:J27" si="11">I24/M24</f>
        <v>1930.7810606060609</v>
      </c>
      <c r="K24" s="171">
        <f t="shared" ref="K24:K27" si="12">M5</f>
        <v>11716.25</v>
      </c>
      <c r="L24" s="171">
        <f t="shared" ref="L24:L27" si="13">O5</f>
        <v>1055.68</v>
      </c>
      <c r="M24" s="182">
        <f t="shared" ref="M24:M27" si="14">I5</f>
        <v>26.4</v>
      </c>
      <c r="N24" s="182">
        <f t="shared" ref="N24:N27" si="15">I24/K24</f>
        <v>4.3505916995625737</v>
      </c>
      <c r="O24" s="182">
        <f t="shared" ref="O24:O27" si="16">G24/L24</f>
        <v>48.049712033949682</v>
      </c>
    </row>
    <row r="25" spans="2:16">
      <c r="B25">
        <v>3</v>
      </c>
      <c r="C25" s="35" t="s">
        <v>149</v>
      </c>
      <c r="E25" s="171">
        <f t="shared" si="6"/>
        <v>193.38</v>
      </c>
      <c r="F25" s="171">
        <f t="shared" si="7"/>
        <v>151213</v>
      </c>
      <c r="G25" s="171">
        <f t="shared" si="8"/>
        <v>15653.72</v>
      </c>
      <c r="H25" s="171">
        <f t="shared" si="9"/>
        <v>276.42</v>
      </c>
      <c r="I25" s="171">
        <f t="shared" si="10"/>
        <v>15662.83</v>
      </c>
      <c r="J25" s="171">
        <f t="shared" si="11"/>
        <v>1077.2235213204951</v>
      </c>
      <c r="K25" s="171">
        <f t="shared" si="12"/>
        <v>7914.85</v>
      </c>
      <c r="L25" s="171">
        <f t="shared" si="13"/>
        <v>568.38</v>
      </c>
      <c r="M25" s="182">
        <f t="shared" si="14"/>
        <v>14.54</v>
      </c>
      <c r="N25" s="182">
        <f t="shared" si="15"/>
        <v>1.9789168461815447</v>
      </c>
      <c r="O25" s="182">
        <f t="shared" si="16"/>
        <v>27.54094091980717</v>
      </c>
    </row>
    <row r="26" spans="2:16">
      <c r="B26">
        <v>4</v>
      </c>
      <c r="C26" s="35" t="s">
        <v>150</v>
      </c>
      <c r="E26" s="171">
        <f t="shared" si="6"/>
        <v>2835.5</v>
      </c>
      <c r="F26" s="171">
        <f t="shared" si="7"/>
        <v>50314</v>
      </c>
      <c r="G26" s="171">
        <f t="shared" si="8"/>
        <v>12923.89</v>
      </c>
      <c r="H26" s="171">
        <f t="shared" si="9"/>
        <v>71.2</v>
      </c>
      <c r="I26" s="171">
        <f t="shared" si="10"/>
        <v>12721.09</v>
      </c>
      <c r="J26" s="171">
        <f t="shared" si="11"/>
        <v>573.79747406405045</v>
      </c>
      <c r="K26" s="171">
        <f t="shared" si="12"/>
        <v>3759.8</v>
      </c>
      <c r="L26" s="171">
        <f t="shared" si="13"/>
        <v>1955.3</v>
      </c>
      <c r="M26" s="182">
        <f t="shared" si="14"/>
        <v>22.17</v>
      </c>
      <c r="N26" s="182">
        <f t="shared" si="15"/>
        <v>3.3834485876908347</v>
      </c>
      <c r="O26" s="182">
        <f t="shared" si="16"/>
        <v>6.609671150207129</v>
      </c>
    </row>
    <row r="27" spans="2:16">
      <c r="B27">
        <v>5</v>
      </c>
      <c r="C27" s="35" t="s">
        <v>151</v>
      </c>
      <c r="E27" s="171">
        <f t="shared" si="6"/>
        <v>900.3</v>
      </c>
      <c r="F27" s="171">
        <f t="shared" si="7"/>
        <v>142630</v>
      </c>
      <c r="G27" s="171">
        <f t="shared" si="8"/>
        <v>4305.51</v>
      </c>
      <c r="H27" s="171">
        <f t="shared" si="9"/>
        <v>17.64</v>
      </c>
      <c r="I27" s="171">
        <f t="shared" si="10"/>
        <v>4314.0600000000004</v>
      </c>
      <c r="J27" s="171">
        <f t="shared" si="11"/>
        <v>258.48172558418213</v>
      </c>
      <c r="K27" s="171">
        <f t="shared" si="12"/>
        <v>1299.42</v>
      </c>
      <c r="L27" s="171">
        <f t="shared" si="13"/>
        <v>144.94999999999999</v>
      </c>
      <c r="M27" s="182">
        <f t="shared" si="14"/>
        <v>16.690000000000001</v>
      </c>
      <c r="N27" s="182">
        <f t="shared" si="15"/>
        <v>3.3199889181327054</v>
      </c>
      <c r="O27" s="182">
        <f t="shared" si="16"/>
        <v>29.70341497067955</v>
      </c>
    </row>
    <row r="29" spans="2:16">
      <c r="B29" s="27"/>
      <c r="C29" s="183" t="s">
        <v>170</v>
      </c>
      <c r="D29" s="36"/>
      <c r="E29" s="36"/>
      <c r="F29" s="36"/>
      <c r="G29" s="36"/>
      <c r="H29" s="36"/>
      <c r="I29" s="36"/>
      <c r="J29" s="36"/>
      <c r="K29" s="36"/>
      <c r="L29" s="36"/>
      <c r="M29" s="184">
        <f>AVERAGE(M23:M27)</f>
        <v>22.158000000000001</v>
      </c>
      <c r="N29" s="184">
        <f>AVERAGE(N23:N27)</f>
        <v>3.8859879262945953</v>
      </c>
      <c r="O29" s="184">
        <f>AVERAGE(O23:O27)</f>
        <v>33.603273984804638</v>
      </c>
    </row>
    <row r="30" spans="2:16">
      <c r="B30" s="27"/>
      <c r="C30" s="183" t="s">
        <v>171</v>
      </c>
      <c r="D30" s="36"/>
      <c r="E30" s="36"/>
      <c r="F30" s="36"/>
      <c r="G30" s="36"/>
      <c r="H30" s="36"/>
      <c r="I30" s="36"/>
      <c r="J30" s="36"/>
      <c r="K30" s="36"/>
      <c r="L30" s="36"/>
      <c r="M30" s="184">
        <f>MEDIAN(M23:M27)</f>
        <v>22.17</v>
      </c>
      <c r="N30" s="184">
        <f>MEDIAN(N23:N27)</f>
        <v>3.3834485876908347</v>
      </c>
      <c r="O30" s="184">
        <f>MEDIAN(O23:O27)</f>
        <v>29.70341497067955</v>
      </c>
    </row>
    <row r="31" spans="2:16">
      <c r="I31" s="171"/>
    </row>
  </sheetData>
  <mergeCells count="3">
    <mergeCell ref="B2:N2"/>
    <mergeCell ref="B11:L11"/>
    <mergeCell ref="B21:N2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B41"/>
  <sheetViews>
    <sheetView topLeftCell="A8" workbookViewId="0">
      <selection activeCell="B32" sqref="B32"/>
    </sheetView>
  </sheetViews>
  <sheetFormatPr defaultRowHeight="15"/>
  <cols>
    <col min="1" max="1" width="1.85546875" customWidth="1"/>
  </cols>
  <sheetData>
    <row r="3" spans="2:2">
      <c r="B3" t="s">
        <v>236</v>
      </c>
    </row>
    <row r="4" spans="2:2">
      <c r="B4" t="s">
        <v>210</v>
      </c>
    </row>
    <row r="5" spans="2:2">
      <c r="B5" t="s">
        <v>206</v>
      </c>
    </row>
    <row r="6" spans="2:2">
      <c r="B6" t="s">
        <v>207</v>
      </c>
    </row>
    <row r="7" spans="2:2">
      <c r="B7" t="s">
        <v>208</v>
      </c>
    </row>
    <row r="8" spans="2:2">
      <c r="B8" t="s">
        <v>209</v>
      </c>
    </row>
    <row r="10" spans="2:2">
      <c r="B10" t="s">
        <v>210</v>
      </c>
    </row>
    <row r="11" spans="2:2">
      <c r="B11" t="s">
        <v>211</v>
      </c>
    </row>
    <row r="12" spans="2:2">
      <c r="B12" t="s">
        <v>212</v>
      </c>
    </row>
    <row r="13" spans="2:2">
      <c r="B13" t="s">
        <v>213</v>
      </c>
    </row>
    <row r="14" spans="2:2">
      <c r="B14" t="s">
        <v>214</v>
      </c>
    </row>
    <row r="15" spans="2:2">
      <c r="B15" t="s">
        <v>215</v>
      </c>
    </row>
    <row r="17" spans="2:2">
      <c r="B17" t="s">
        <v>216</v>
      </c>
    </row>
    <row r="18" spans="2:2">
      <c r="B18" t="s">
        <v>217</v>
      </c>
    </row>
    <row r="19" spans="2:2">
      <c r="B19" t="s">
        <v>218</v>
      </c>
    </row>
    <row r="21" spans="2:2">
      <c r="B21" t="s">
        <v>219</v>
      </c>
    </row>
    <row r="22" spans="2:2">
      <c r="B22" t="s">
        <v>220</v>
      </c>
    </row>
    <row r="23" spans="2:2">
      <c r="B23" t="s">
        <v>221</v>
      </c>
    </row>
    <row r="24" spans="2:2">
      <c r="B24" t="s">
        <v>222</v>
      </c>
    </row>
    <row r="25" spans="2:2">
      <c r="B25" t="s">
        <v>223</v>
      </c>
    </row>
    <row r="27" spans="2:2">
      <c r="B27" t="s">
        <v>224</v>
      </c>
    </row>
    <row r="28" spans="2:2">
      <c r="B28" t="s">
        <v>225</v>
      </c>
    </row>
    <row r="29" spans="2:2">
      <c r="B29" t="s">
        <v>226</v>
      </c>
    </row>
    <row r="30" spans="2:2">
      <c r="B30" t="s">
        <v>227</v>
      </c>
    </row>
    <row r="31" spans="2:2">
      <c r="B31" t="s">
        <v>228</v>
      </c>
    </row>
    <row r="34" spans="2:2">
      <c r="B34" t="s">
        <v>229</v>
      </c>
    </row>
    <row r="35" spans="2:2">
      <c r="B35" t="s">
        <v>230</v>
      </c>
    </row>
    <row r="36" spans="2:2">
      <c r="B36" t="s">
        <v>231</v>
      </c>
    </row>
    <row r="37" spans="2:2">
      <c r="B37" t="s">
        <v>232</v>
      </c>
    </row>
    <row r="39" spans="2:2">
      <c r="B39" t="s">
        <v>233</v>
      </c>
    </row>
    <row r="40" spans="2:2">
      <c r="B40" t="s">
        <v>234</v>
      </c>
    </row>
    <row r="41" spans="2:2">
      <c r="B41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3"/>
  <sheetViews>
    <sheetView zoomScale="120" zoomScaleNormal="120" zoomScalePageLayoutView="120" workbookViewId="0">
      <pane xSplit="1" ySplit="1" topLeftCell="F80" activePane="bottomRight" state="frozen"/>
      <selection activeCell="C4" sqref="C4"/>
      <selection pane="topRight" activeCell="C4" sqref="C4"/>
      <selection pane="bottomLeft" activeCell="C4" sqref="C4"/>
      <selection pane="bottomRight" activeCell="G83" sqref="G83"/>
    </sheetView>
  </sheetViews>
  <sheetFormatPr defaultColWidth="8.85546875" defaultRowHeight="15"/>
  <cols>
    <col min="1" max="1" width="27.7109375" style="20" bestFit="1" customWidth="1"/>
    <col min="2" max="11" width="13.42578125" style="20" bestFit="1" customWidth="1"/>
    <col min="12" max="16384" width="8.85546875" style="20"/>
  </cols>
  <sheetData>
    <row r="1" spans="1:11" s="19" customFormat="1">
      <c r="A1" s="19" t="s">
        <v>12</v>
      </c>
      <c r="B1" s="19" t="s">
        <v>13</v>
      </c>
      <c r="E1" s="169" t="s">
        <v>13</v>
      </c>
      <c r="F1" s="169"/>
      <c r="G1" s="169"/>
      <c r="H1" s="169"/>
      <c r="I1" s="169"/>
      <c r="J1" s="169"/>
      <c r="K1" s="169"/>
    </row>
    <row r="2" spans="1:11">
      <c r="A2" s="19" t="s">
        <v>14</v>
      </c>
      <c r="B2" s="20">
        <v>2.1</v>
      </c>
      <c r="E2" s="170" t="s">
        <v>15</v>
      </c>
      <c r="F2" s="170"/>
      <c r="G2" s="170"/>
      <c r="H2" s="170"/>
      <c r="I2" s="170"/>
      <c r="J2" s="170"/>
      <c r="K2" s="170"/>
    </row>
    <row r="3" spans="1:11">
      <c r="A3" s="19" t="s">
        <v>16</v>
      </c>
      <c r="B3" s="20">
        <v>2.1</v>
      </c>
    </row>
    <row r="4" spans="1:11">
      <c r="A4" s="19"/>
    </row>
    <row r="5" spans="1:11">
      <c r="A5" s="19" t="s">
        <v>17</v>
      </c>
    </row>
    <row r="6" spans="1:11">
      <c r="A6" s="20" t="s">
        <v>18</v>
      </c>
      <c r="B6" s="20">
        <f>IF(B9&gt;0, B9/B8, 0)</f>
        <v>95.917762559056825</v>
      </c>
    </row>
    <row r="7" spans="1:11">
      <c r="A7" s="20" t="s">
        <v>19</v>
      </c>
      <c r="B7" s="21">
        <v>1</v>
      </c>
    </row>
    <row r="8" spans="1:11">
      <c r="A8" s="20" t="s">
        <v>1</v>
      </c>
      <c r="B8" s="21">
        <v>2307.1</v>
      </c>
    </row>
    <row r="9" spans="1:11">
      <c r="A9" s="20" t="s">
        <v>20</v>
      </c>
      <c r="B9" s="21">
        <v>221291.87</v>
      </c>
    </row>
    <row r="15" spans="1:11">
      <c r="A15" s="19" t="s">
        <v>21</v>
      </c>
    </row>
    <row r="16" spans="1:11" s="24" customFormat="1">
      <c r="A16" s="22" t="s">
        <v>22</v>
      </c>
      <c r="B16" s="23">
        <v>42460</v>
      </c>
      <c r="C16" s="23">
        <v>42825</v>
      </c>
      <c r="D16" s="23">
        <v>43190</v>
      </c>
      <c r="E16" s="23">
        <v>43555</v>
      </c>
      <c r="F16" s="23">
        <v>43921</v>
      </c>
      <c r="G16" s="23">
        <v>44286</v>
      </c>
      <c r="H16" s="23">
        <v>44651</v>
      </c>
      <c r="I16" s="23">
        <v>45016</v>
      </c>
      <c r="J16" s="23">
        <v>45382</v>
      </c>
      <c r="K16" s="23">
        <v>45747</v>
      </c>
    </row>
    <row r="17" spans="1:11" s="25" customFormat="1">
      <c r="A17" s="25" t="s">
        <v>23</v>
      </c>
      <c r="B17" s="21">
        <v>14271.49</v>
      </c>
      <c r="C17" s="21">
        <v>15061.99</v>
      </c>
      <c r="D17" s="21">
        <v>16824.55</v>
      </c>
      <c r="E17" s="21">
        <v>19240.13</v>
      </c>
      <c r="F17" s="21">
        <v>20211.25</v>
      </c>
      <c r="G17" s="21">
        <v>21712.79</v>
      </c>
      <c r="H17" s="21">
        <v>29101.279999999999</v>
      </c>
      <c r="I17" s="21">
        <v>34488.589999999997</v>
      </c>
      <c r="J17" s="21">
        <v>35494.730000000003</v>
      </c>
      <c r="K17" s="21">
        <v>33905.620000000003</v>
      </c>
    </row>
    <row r="18" spans="1:11" s="25" customFormat="1">
      <c r="A18" s="20" t="s">
        <v>24</v>
      </c>
      <c r="B18" s="21">
        <v>6569.83</v>
      </c>
      <c r="C18" s="21">
        <v>7452.6</v>
      </c>
      <c r="D18" s="21">
        <v>8128.17</v>
      </c>
      <c r="E18" s="21">
        <v>9974.4</v>
      </c>
      <c r="F18" s="21">
        <v>9986.19</v>
      </c>
      <c r="G18" s="21">
        <v>10425.549999999999</v>
      </c>
      <c r="H18" s="21">
        <v>17123.25</v>
      </c>
      <c r="I18" s="21">
        <v>18985.53</v>
      </c>
      <c r="J18" s="21">
        <v>17410.84</v>
      </c>
      <c r="K18" s="21">
        <v>17504.509999999998</v>
      </c>
    </row>
    <row r="19" spans="1:11" s="25" customFormat="1">
      <c r="A19" s="20" t="s">
        <v>25</v>
      </c>
      <c r="B19" s="21">
        <v>-199.33</v>
      </c>
      <c r="C19" s="21">
        <v>528.6</v>
      </c>
      <c r="D19" s="21">
        <v>-142.13</v>
      </c>
      <c r="E19" s="21">
        <v>293.26</v>
      </c>
      <c r="F19" s="21">
        <v>239.15</v>
      </c>
      <c r="G19" s="21">
        <v>92.45</v>
      </c>
      <c r="H19" s="21">
        <v>1324.97</v>
      </c>
      <c r="I19" s="21">
        <v>309.73</v>
      </c>
      <c r="J19" s="21">
        <v>-363.8</v>
      </c>
      <c r="K19" s="21">
        <v>205</v>
      </c>
    </row>
    <row r="20" spans="1:11" s="25" customFormat="1">
      <c r="A20" s="20" t="s">
        <v>26</v>
      </c>
      <c r="B20" s="21">
        <v>114.48</v>
      </c>
      <c r="C20" s="21">
        <v>106.02</v>
      </c>
      <c r="D20" s="21">
        <v>110.3</v>
      </c>
      <c r="E20" s="21">
        <v>119.63</v>
      </c>
      <c r="F20" s="21">
        <v>114.93</v>
      </c>
      <c r="G20" s="21">
        <v>86.05</v>
      </c>
      <c r="H20" s="21">
        <v>117.23</v>
      </c>
      <c r="I20" s="21">
        <v>138.29</v>
      </c>
      <c r="J20" s="21">
        <v>133.25</v>
      </c>
      <c r="K20" s="21">
        <v>148.58000000000001</v>
      </c>
    </row>
    <row r="21" spans="1:11" s="25" customFormat="1">
      <c r="A21" s="20" t="s">
        <v>27</v>
      </c>
      <c r="B21" s="21">
        <v>1535.22</v>
      </c>
      <c r="C21" s="21">
        <v>1662.75</v>
      </c>
      <c r="D21" s="21">
        <v>1691.68</v>
      </c>
      <c r="E21" s="21">
        <v>1862.35</v>
      </c>
      <c r="F21" s="21">
        <v>1941.92</v>
      </c>
      <c r="G21" s="21">
        <v>2068.31</v>
      </c>
      <c r="H21" s="21">
        <v>2880.45</v>
      </c>
      <c r="I21" s="21">
        <v>2916.2</v>
      </c>
      <c r="J21" s="21">
        <v>2767.18</v>
      </c>
      <c r="K21" s="21">
        <v>2687.4</v>
      </c>
    </row>
    <row r="22" spans="1:11" s="25" customFormat="1">
      <c r="A22" s="20" t="s">
        <v>28</v>
      </c>
      <c r="B22" s="21">
        <v>994.98</v>
      </c>
      <c r="C22" s="21">
        <v>1039.8900000000001</v>
      </c>
      <c r="D22" s="21">
        <v>1121.8900000000001</v>
      </c>
      <c r="E22" s="21">
        <v>1242.69</v>
      </c>
      <c r="F22" s="21">
        <v>1371.27</v>
      </c>
      <c r="G22" s="21">
        <v>1547.61</v>
      </c>
      <c r="H22" s="21">
        <v>1794.61</v>
      </c>
      <c r="I22" s="21">
        <v>2036.41</v>
      </c>
      <c r="J22" s="21">
        <v>2334.92</v>
      </c>
      <c r="K22" s="21">
        <v>2605.7800000000002</v>
      </c>
    </row>
    <row r="23" spans="1:11" s="25" customFormat="1">
      <c r="A23" s="20" t="s">
        <v>29</v>
      </c>
      <c r="B23" s="21">
        <v>3912.3</v>
      </c>
      <c r="C23" s="21">
        <v>4364.04</v>
      </c>
      <c r="D23" s="21">
        <v>2254.92</v>
      </c>
      <c r="E23" s="21">
        <v>2366.87</v>
      </c>
      <c r="F23" s="21">
        <v>2623.15</v>
      </c>
      <c r="G23" s="21">
        <v>2245.69</v>
      </c>
      <c r="H23" s="21">
        <v>2941.98</v>
      </c>
      <c r="I23" s="21">
        <v>3500.84</v>
      </c>
      <c r="J23" s="21">
        <v>3811.86</v>
      </c>
      <c r="K23" s="21">
        <v>3874.94</v>
      </c>
    </row>
    <row r="24" spans="1:11" s="25" customFormat="1">
      <c r="A24" s="20" t="s">
        <v>30</v>
      </c>
      <c r="B24" s="21">
        <v>-1779.69</v>
      </c>
      <c r="C24" s="21">
        <v>-2028.47</v>
      </c>
      <c r="D24" s="21">
        <v>171.45</v>
      </c>
      <c r="E24" s="21">
        <v>202.51</v>
      </c>
      <c r="F24" s="21">
        <v>245.55</v>
      </c>
      <c r="G24" s="21">
        <v>576.42999999999995</v>
      </c>
      <c r="H24" s="21">
        <v>765.12</v>
      </c>
      <c r="I24" s="21">
        <v>961.21</v>
      </c>
      <c r="J24" s="21">
        <v>1087.9000000000001</v>
      </c>
      <c r="K24" s="21">
        <v>1283.2</v>
      </c>
    </row>
    <row r="25" spans="1:11" s="25" customFormat="1">
      <c r="A25" s="25" t="s">
        <v>31</v>
      </c>
      <c r="B25" s="21">
        <v>213.39</v>
      </c>
      <c r="C25" s="21">
        <v>337.9</v>
      </c>
      <c r="D25" s="21">
        <v>336.41</v>
      </c>
      <c r="E25" s="21">
        <v>273.77</v>
      </c>
      <c r="F25" s="21">
        <v>350.1</v>
      </c>
      <c r="G25" s="21">
        <v>331.65</v>
      </c>
      <c r="H25" s="21">
        <v>295.88</v>
      </c>
      <c r="I25" s="21">
        <v>431.46</v>
      </c>
      <c r="J25" s="21">
        <v>820.96</v>
      </c>
      <c r="K25" s="21">
        <v>350.22</v>
      </c>
    </row>
    <row r="26" spans="1:11" s="25" customFormat="1">
      <c r="A26" s="25" t="s">
        <v>32</v>
      </c>
      <c r="B26" s="21">
        <v>275.58</v>
      </c>
      <c r="C26" s="21">
        <v>334.79</v>
      </c>
      <c r="D26" s="21">
        <v>360.47</v>
      </c>
      <c r="E26" s="21">
        <v>622.14</v>
      </c>
      <c r="F26" s="21">
        <v>780.5</v>
      </c>
      <c r="G26" s="21">
        <v>791.27</v>
      </c>
      <c r="H26" s="21">
        <v>816.36</v>
      </c>
      <c r="I26" s="21">
        <v>858.02</v>
      </c>
      <c r="J26" s="21">
        <v>853</v>
      </c>
      <c r="K26" s="21">
        <v>1026.3399999999999</v>
      </c>
    </row>
    <row r="27" spans="1:11" s="25" customFormat="1">
      <c r="A27" s="25" t="s">
        <v>33</v>
      </c>
      <c r="B27" s="21">
        <v>49</v>
      </c>
      <c r="C27" s="21">
        <v>37.33</v>
      </c>
      <c r="D27" s="21">
        <v>41.47</v>
      </c>
      <c r="E27" s="21">
        <v>110.47</v>
      </c>
      <c r="F27" s="21">
        <v>107.95</v>
      </c>
      <c r="G27" s="21">
        <v>91.63</v>
      </c>
      <c r="H27" s="21">
        <v>95.41</v>
      </c>
      <c r="I27" s="21">
        <v>144.44999999999999</v>
      </c>
      <c r="J27" s="21">
        <v>205.17</v>
      </c>
      <c r="K27" s="21">
        <v>227.02</v>
      </c>
    </row>
    <row r="28" spans="1:11" s="25" customFormat="1">
      <c r="A28" s="25" t="s">
        <v>34</v>
      </c>
      <c r="B28" s="21">
        <v>2613.85</v>
      </c>
      <c r="C28" s="21">
        <v>2959.54</v>
      </c>
      <c r="D28" s="21">
        <v>3138.48</v>
      </c>
      <c r="E28" s="21">
        <v>3306.1</v>
      </c>
      <c r="F28" s="21">
        <v>3629.04</v>
      </c>
      <c r="G28" s="21">
        <v>4304.3500000000004</v>
      </c>
      <c r="H28" s="21">
        <v>4187.72</v>
      </c>
      <c r="I28" s="21">
        <v>5688.83</v>
      </c>
      <c r="J28" s="21">
        <v>7347.77</v>
      </c>
      <c r="K28" s="21">
        <v>5103.07</v>
      </c>
    </row>
    <row r="29" spans="1:11" s="25" customFormat="1">
      <c r="A29" s="25" t="s">
        <v>35</v>
      </c>
      <c r="B29" s="21">
        <v>844.49</v>
      </c>
      <c r="C29" s="21">
        <v>943.29</v>
      </c>
      <c r="D29" s="21">
        <v>1040.96</v>
      </c>
      <c r="E29" s="21">
        <v>1098.06</v>
      </c>
      <c r="F29" s="21">
        <v>854.85</v>
      </c>
      <c r="G29" s="21">
        <v>1097.5999999999999</v>
      </c>
      <c r="H29" s="21">
        <v>1102.9100000000001</v>
      </c>
      <c r="I29" s="21">
        <v>1493.5</v>
      </c>
      <c r="J29" s="21">
        <v>1790.08</v>
      </c>
      <c r="K29" s="21">
        <v>1393.36</v>
      </c>
    </row>
    <row r="30" spans="1:11" s="25" customFormat="1">
      <c r="A30" s="25" t="s">
        <v>36</v>
      </c>
      <c r="B30" s="21">
        <v>1745.16</v>
      </c>
      <c r="C30" s="21">
        <v>1939.43</v>
      </c>
      <c r="D30" s="21">
        <v>2038.93</v>
      </c>
      <c r="E30" s="21">
        <v>2155.92</v>
      </c>
      <c r="F30" s="21">
        <v>2705.17</v>
      </c>
      <c r="G30" s="21">
        <v>3139.29</v>
      </c>
      <c r="H30" s="21">
        <v>3030.57</v>
      </c>
      <c r="I30" s="21">
        <v>4106.45</v>
      </c>
      <c r="J30" s="21">
        <v>5460.23</v>
      </c>
      <c r="K30" s="21">
        <v>3667.23</v>
      </c>
    </row>
    <row r="31" spans="1:11" s="25" customFormat="1">
      <c r="A31" s="25" t="s">
        <v>37</v>
      </c>
      <c r="B31" s="21">
        <v>719.4</v>
      </c>
      <c r="C31" s="21">
        <v>987.98</v>
      </c>
      <c r="D31" s="21">
        <v>834.5</v>
      </c>
      <c r="E31" s="21">
        <v>1007.16</v>
      </c>
      <c r="F31" s="21">
        <v>1151.04</v>
      </c>
      <c r="G31" s="21">
        <v>1712.17</v>
      </c>
      <c r="H31" s="21">
        <v>1836.87</v>
      </c>
      <c r="I31" s="21">
        <v>2460.35</v>
      </c>
      <c r="J31" s="21">
        <v>3194.14</v>
      </c>
      <c r="K31" s="21">
        <v>2378.8200000000002</v>
      </c>
    </row>
    <row r="32" spans="1:11" s="25" customFormat="1"/>
    <row r="33" spans="1:11">
      <c r="A33" s="25"/>
    </row>
    <row r="34" spans="1:11">
      <c r="A34" s="25"/>
    </row>
    <row r="35" spans="1:11">
      <c r="A35" s="25"/>
    </row>
    <row r="36" spans="1:11">
      <c r="A36" s="25"/>
    </row>
    <row r="37" spans="1:11">
      <c r="A37" s="25"/>
    </row>
    <row r="38" spans="1:11">
      <c r="A38" s="25"/>
    </row>
    <row r="39" spans="1:11">
      <c r="A39" s="25"/>
    </row>
    <row r="40" spans="1:11">
      <c r="A40" s="19" t="s">
        <v>38</v>
      </c>
    </row>
    <row r="41" spans="1:11" s="24" customFormat="1">
      <c r="A41" s="22" t="s">
        <v>22</v>
      </c>
      <c r="B41" s="23">
        <v>45199</v>
      </c>
      <c r="C41" s="23">
        <v>45291</v>
      </c>
      <c r="D41" s="23">
        <v>45382</v>
      </c>
      <c r="E41" s="23">
        <v>45473</v>
      </c>
      <c r="F41" s="23">
        <v>45565</v>
      </c>
      <c r="G41" s="23">
        <v>45657</v>
      </c>
      <c r="H41" s="23">
        <v>45747</v>
      </c>
      <c r="I41" s="23">
        <v>45838</v>
      </c>
      <c r="J41" s="23">
        <v>45930</v>
      </c>
      <c r="K41" s="23">
        <v>46022</v>
      </c>
    </row>
    <row r="42" spans="1:11" s="25" customFormat="1">
      <c r="A42" s="25" t="s">
        <v>23</v>
      </c>
      <c r="B42" s="21">
        <v>8478.57</v>
      </c>
      <c r="C42" s="21">
        <v>9103.09</v>
      </c>
      <c r="D42" s="21">
        <v>8730.76</v>
      </c>
      <c r="E42" s="21">
        <v>8969.73</v>
      </c>
      <c r="F42" s="21">
        <v>8027.54</v>
      </c>
      <c r="G42" s="21">
        <v>8549.44</v>
      </c>
      <c r="H42" s="21">
        <v>8358.91</v>
      </c>
      <c r="I42" s="21">
        <v>8938.5499999999993</v>
      </c>
      <c r="J42" s="21">
        <v>8531.27</v>
      </c>
      <c r="K42" s="21">
        <v>8867.02</v>
      </c>
    </row>
    <row r="43" spans="1:11" s="25" customFormat="1">
      <c r="A43" s="25" t="s">
        <v>39</v>
      </c>
      <c r="B43" s="21">
        <v>6762.34</v>
      </c>
      <c r="C43" s="21">
        <v>7047</v>
      </c>
      <c r="D43" s="21">
        <v>7039.39</v>
      </c>
      <c r="E43" s="21">
        <v>7275.96</v>
      </c>
      <c r="F43" s="21">
        <v>6788.03</v>
      </c>
      <c r="G43" s="21">
        <v>6912.71</v>
      </c>
      <c r="H43" s="21">
        <v>6922.71</v>
      </c>
      <c r="I43" s="21">
        <v>7313.58</v>
      </c>
      <c r="J43" s="21">
        <v>7027.89</v>
      </c>
      <c r="K43" s="21">
        <v>7086.06</v>
      </c>
    </row>
    <row r="44" spans="1:11" s="25" customFormat="1">
      <c r="A44" s="25" t="s">
        <v>31</v>
      </c>
      <c r="B44" s="21">
        <v>194.33</v>
      </c>
      <c r="C44" s="21">
        <v>186.46</v>
      </c>
      <c r="D44" s="21">
        <v>212.43</v>
      </c>
      <c r="E44" s="21">
        <v>192.93</v>
      </c>
      <c r="F44" s="21">
        <v>24.53</v>
      </c>
      <c r="G44" s="21">
        <v>192.82</v>
      </c>
      <c r="H44" s="21">
        <v>-60.06</v>
      </c>
      <c r="I44" s="21">
        <v>229.11</v>
      </c>
      <c r="J44" s="21">
        <v>236.94</v>
      </c>
      <c r="K44" s="21">
        <v>69.14</v>
      </c>
    </row>
    <row r="45" spans="1:11" s="25" customFormat="1">
      <c r="A45" s="25" t="s">
        <v>32</v>
      </c>
      <c r="B45" s="21">
        <v>208.72</v>
      </c>
      <c r="C45" s="21">
        <v>220.35</v>
      </c>
      <c r="D45" s="21">
        <v>225.61</v>
      </c>
      <c r="E45" s="21">
        <v>227.7</v>
      </c>
      <c r="F45" s="21">
        <v>241.99</v>
      </c>
      <c r="G45" s="21">
        <v>255.55</v>
      </c>
      <c r="H45" s="21">
        <v>301.10000000000002</v>
      </c>
      <c r="I45" s="21">
        <v>300.87</v>
      </c>
      <c r="J45" s="21">
        <v>304.93</v>
      </c>
      <c r="K45" s="21">
        <v>313.07</v>
      </c>
    </row>
    <row r="46" spans="1:11" s="25" customFormat="1">
      <c r="A46" s="25" t="s">
        <v>33</v>
      </c>
      <c r="B46" s="21">
        <v>50.9</v>
      </c>
      <c r="C46" s="21">
        <v>54.42</v>
      </c>
      <c r="D46" s="21">
        <v>54.1</v>
      </c>
      <c r="E46" s="21">
        <v>55.38</v>
      </c>
      <c r="F46" s="21">
        <v>63.01</v>
      </c>
      <c r="G46" s="21">
        <v>55.84</v>
      </c>
      <c r="H46" s="21">
        <v>52.79</v>
      </c>
      <c r="I46" s="21">
        <v>44.5</v>
      </c>
      <c r="J46" s="21">
        <v>43.87</v>
      </c>
      <c r="K46" s="21">
        <v>47.94</v>
      </c>
    </row>
    <row r="47" spans="1:11" s="25" customFormat="1">
      <c r="A47" s="25" t="s">
        <v>34</v>
      </c>
      <c r="B47" s="21">
        <v>1650.94</v>
      </c>
      <c r="C47" s="21">
        <v>1967.78</v>
      </c>
      <c r="D47" s="21">
        <v>1624.09</v>
      </c>
      <c r="E47" s="21">
        <v>1603.62</v>
      </c>
      <c r="F47" s="21">
        <v>959.04</v>
      </c>
      <c r="G47" s="21">
        <v>1518.16</v>
      </c>
      <c r="H47" s="21">
        <v>1022.25</v>
      </c>
      <c r="I47" s="21">
        <v>1508.71</v>
      </c>
      <c r="J47" s="21">
        <v>1391.52</v>
      </c>
      <c r="K47" s="21">
        <v>1489.09</v>
      </c>
    </row>
    <row r="48" spans="1:11" s="25" customFormat="1">
      <c r="A48" s="25" t="s">
        <v>35</v>
      </c>
      <c r="B48" s="21">
        <v>418.55</v>
      </c>
      <c r="C48" s="21">
        <v>492.62</v>
      </c>
      <c r="D48" s="21">
        <v>348.79</v>
      </c>
      <c r="E48" s="21">
        <v>416.83</v>
      </c>
      <c r="F48" s="21">
        <v>265.38</v>
      </c>
      <c r="G48" s="21">
        <v>389.73</v>
      </c>
      <c r="H48" s="21">
        <v>321.42</v>
      </c>
      <c r="I48" s="21">
        <v>391.66</v>
      </c>
      <c r="J48" s="21">
        <v>373.29</v>
      </c>
      <c r="K48" s="21">
        <v>415.17</v>
      </c>
    </row>
    <row r="49" spans="1:11" s="25" customFormat="1">
      <c r="A49" s="25" t="s">
        <v>36</v>
      </c>
      <c r="B49" s="21">
        <v>1205.42</v>
      </c>
      <c r="C49" s="21">
        <v>1447.72</v>
      </c>
      <c r="D49" s="21">
        <v>1256.72</v>
      </c>
      <c r="E49" s="21">
        <v>1169.98</v>
      </c>
      <c r="F49" s="21">
        <v>694.64</v>
      </c>
      <c r="G49" s="21">
        <v>1110.48</v>
      </c>
      <c r="H49" s="21">
        <v>692.13</v>
      </c>
      <c r="I49" s="21">
        <v>1099.77</v>
      </c>
      <c r="J49" s="21">
        <v>993.59</v>
      </c>
      <c r="K49" s="21">
        <v>1059.8699999999999</v>
      </c>
    </row>
    <row r="50" spans="1:11">
      <c r="A50" s="25" t="s">
        <v>40</v>
      </c>
      <c r="B50" s="21">
        <v>1716.23</v>
      </c>
      <c r="C50" s="21">
        <v>2056.09</v>
      </c>
      <c r="D50" s="21">
        <v>1691.37</v>
      </c>
      <c r="E50" s="21">
        <v>1693.77</v>
      </c>
      <c r="F50" s="21">
        <v>1239.51</v>
      </c>
      <c r="G50" s="21">
        <v>1636.73</v>
      </c>
      <c r="H50" s="21">
        <v>1436.2</v>
      </c>
      <c r="I50" s="21">
        <v>1624.97</v>
      </c>
      <c r="J50" s="21">
        <v>1503.38</v>
      </c>
      <c r="K50" s="21">
        <v>1780.96</v>
      </c>
    </row>
    <row r="51" spans="1:11">
      <c r="A51" s="25"/>
    </row>
    <row r="52" spans="1:11">
      <c r="A52" s="25"/>
    </row>
    <row r="53" spans="1:11">
      <c r="A53" s="25"/>
    </row>
    <row r="54" spans="1:11">
      <c r="A54" s="25"/>
    </row>
    <row r="55" spans="1:11">
      <c r="A55" s="19" t="s">
        <v>41</v>
      </c>
    </row>
    <row r="56" spans="1:11" s="24" customFormat="1">
      <c r="A56" s="22" t="s">
        <v>22</v>
      </c>
      <c r="B56" s="23">
        <v>42460</v>
      </c>
      <c r="C56" s="23">
        <v>42825</v>
      </c>
      <c r="D56" s="23">
        <v>43190</v>
      </c>
      <c r="E56" s="23">
        <v>43555</v>
      </c>
      <c r="F56" s="23">
        <v>43921</v>
      </c>
      <c r="G56" s="23">
        <v>44286</v>
      </c>
      <c r="H56" s="23">
        <v>44651</v>
      </c>
      <c r="I56" s="23">
        <v>45016</v>
      </c>
      <c r="J56" s="23">
        <v>45382</v>
      </c>
      <c r="K56" s="23">
        <v>45747</v>
      </c>
    </row>
    <row r="57" spans="1:11">
      <c r="A57" s="25" t="s">
        <v>42</v>
      </c>
      <c r="B57" s="21">
        <v>95.92</v>
      </c>
      <c r="C57" s="21">
        <v>95.92</v>
      </c>
      <c r="D57" s="21">
        <v>95.92</v>
      </c>
      <c r="E57" s="21">
        <v>95.92</v>
      </c>
      <c r="F57" s="21">
        <v>95.92</v>
      </c>
      <c r="G57" s="21">
        <v>95.92</v>
      </c>
      <c r="H57" s="21">
        <v>95.92</v>
      </c>
      <c r="I57" s="21">
        <v>95.92</v>
      </c>
      <c r="J57" s="21">
        <v>95.92</v>
      </c>
      <c r="K57" s="21">
        <v>95.92</v>
      </c>
    </row>
    <row r="58" spans="1:11">
      <c r="A58" s="25" t="s">
        <v>43</v>
      </c>
      <c r="B58" s="21">
        <v>6428.9</v>
      </c>
      <c r="C58" s="21">
        <v>7507.97</v>
      </c>
      <c r="D58" s="21">
        <v>8314.31</v>
      </c>
      <c r="E58" s="21">
        <v>9374.6299999999992</v>
      </c>
      <c r="F58" s="21">
        <v>10034.24</v>
      </c>
      <c r="G58" s="21">
        <v>12710.37</v>
      </c>
      <c r="H58" s="21">
        <v>13715.64</v>
      </c>
      <c r="I58" s="21">
        <v>15896.31</v>
      </c>
      <c r="J58" s="21">
        <v>18632.38</v>
      </c>
      <c r="K58" s="21">
        <v>19303.89</v>
      </c>
    </row>
    <row r="59" spans="1:11">
      <c r="A59" s="25" t="s">
        <v>44</v>
      </c>
      <c r="B59" s="21">
        <v>323.29000000000002</v>
      </c>
      <c r="C59" s="21">
        <v>560.34</v>
      </c>
      <c r="D59" s="21">
        <v>533.42999999999995</v>
      </c>
      <c r="E59" s="21">
        <v>1319.6</v>
      </c>
      <c r="F59" s="21">
        <v>1118.5</v>
      </c>
      <c r="G59" s="21">
        <v>1093.1199999999999</v>
      </c>
      <c r="H59" s="21">
        <v>1586.88</v>
      </c>
      <c r="I59" s="21">
        <v>1932.62</v>
      </c>
      <c r="J59" s="21">
        <v>2474.38</v>
      </c>
      <c r="K59" s="21">
        <v>2290.29</v>
      </c>
    </row>
    <row r="60" spans="1:11">
      <c r="A60" s="25" t="s">
        <v>45</v>
      </c>
      <c r="B60" s="21">
        <v>3710.92</v>
      </c>
      <c r="C60" s="21">
        <v>4240.96</v>
      </c>
      <c r="D60" s="21">
        <v>4819.82</v>
      </c>
      <c r="E60" s="21">
        <v>5458.69</v>
      </c>
      <c r="F60" s="21">
        <v>4889.3100000000004</v>
      </c>
      <c r="G60" s="21">
        <v>6455.93</v>
      </c>
      <c r="H60" s="21">
        <v>7559.99</v>
      </c>
      <c r="I60" s="21">
        <v>7854.48</v>
      </c>
      <c r="J60" s="21">
        <v>8698.09</v>
      </c>
      <c r="K60" s="21">
        <v>8665.15</v>
      </c>
    </row>
    <row r="61" spans="1:11" s="19" customFormat="1">
      <c r="A61" s="19" t="s">
        <v>46</v>
      </c>
      <c r="B61" s="21">
        <v>10559.03</v>
      </c>
      <c r="C61" s="21">
        <v>12405.19</v>
      </c>
      <c r="D61" s="21">
        <v>13763.48</v>
      </c>
      <c r="E61" s="21">
        <v>16248.84</v>
      </c>
      <c r="F61" s="21">
        <v>16137.97</v>
      </c>
      <c r="G61" s="21">
        <v>20355.34</v>
      </c>
      <c r="H61" s="21">
        <v>22958.43</v>
      </c>
      <c r="I61" s="21">
        <v>25779.33</v>
      </c>
      <c r="J61" s="21">
        <v>29900.77</v>
      </c>
      <c r="K61" s="21">
        <v>30355.25</v>
      </c>
    </row>
    <row r="62" spans="1:11">
      <c r="A62" s="25" t="s">
        <v>47</v>
      </c>
      <c r="B62" s="21">
        <v>3416.35</v>
      </c>
      <c r="C62" s="21">
        <v>3303.74</v>
      </c>
      <c r="D62" s="21">
        <v>3732.24</v>
      </c>
      <c r="E62" s="21">
        <v>6496.56</v>
      </c>
      <c r="F62" s="21">
        <v>6272.31</v>
      </c>
      <c r="G62" s="21">
        <v>5858.52</v>
      </c>
      <c r="H62" s="21">
        <v>5519.06</v>
      </c>
      <c r="I62" s="21">
        <v>5770.46</v>
      </c>
      <c r="J62" s="21">
        <v>7146.62</v>
      </c>
      <c r="K62" s="21">
        <v>9220.1</v>
      </c>
    </row>
    <row r="63" spans="1:11">
      <c r="A63" s="25" t="s">
        <v>48</v>
      </c>
      <c r="B63" s="21">
        <v>106.59</v>
      </c>
      <c r="C63" s="21">
        <v>257.54000000000002</v>
      </c>
      <c r="D63" s="21">
        <v>1405.11</v>
      </c>
      <c r="E63" s="21">
        <v>209.67</v>
      </c>
      <c r="F63" s="21">
        <v>140.24</v>
      </c>
      <c r="G63" s="21">
        <v>182.98</v>
      </c>
      <c r="H63" s="21">
        <v>426.43</v>
      </c>
      <c r="I63" s="21">
        <v>1019.59</v>
      </c>
      <c r="J63" s="21">
        <v>2698.37</v>
      </c>
      <c r="K63" s="21">
        <v>1254.49</v>
      </c>
    </row>
    <row r="64" spans="1:11">
      <c r="A64" s="25" t="s">
        <v>49</v>
      </c>
      <c r="B64" s="21">
        <v>2712.13</v>
      </c>
      <c r="C64" s="21">
        <v>2651.99</v>
      </c>
      <c r="D64" s="21">
        <v>2140.6999999999998</v>
      </c>
      <c r="E64" s="21">
        <v>2568.58</v>
      </c>
      <c r="F64" s="21">
        <v>2018.85</v>
      </c>
      <c r="G64" s="21">
        <v>4736.8</v>
      </c>
      <c r="H64" s="21">
        <v>3247.53</v>
      </c>
      <c r="I64" s="21">
        <v>4261.71</v>
      </c>
      <c r="J64" s="21">
        <v>4587.92</v>
      </c>
      <c r="K64" s="21">
        <v>4724.75</v>
      </c>
    </row>
    <row r="65" spans="1:13">
      <c r="A65" s="25" t="s">
        <v>50</v>
      </c>
      <c r="B65" s="21">
        <v>4323.96</v>
      </c>
      <c r="C65" s="21">
        <v>6191.92</v>
      </c>
      <c r="D65" s="21">
        <v>6485.43</v>
      </c>
      <c r="E65" s="21">
        <v>6974.03</v>
      </c>
      <c r="F65" s="21">
        <v>7706.57</v>
      </c>
      <c r="G65" s="21">
        <v>9577.0400000000009</v>
      </c>
      <c r="H65" s="21">
        <v>13765.41</v>
      </c>
      <c r="I65" s="21">
        <v>14727.57</v>
      </c>
      <c r="J65" s="21">
        <v>15467.86</v>
      </c>
      <c r="K65" s="21">
        <v>15155.91</v>
      </c>
    </row>
    <row r="66" spans="1:13" s="19" customFormat="1">
      <c r="A66" s="19" t="s">
        <v>46</v>
      </c>
      <c r="B66" s="21">
        <v>10559.03</v>
      </c>
      <c r="C66" s="21">
        <v>12405.19</v>
      </c>
      <c r="D66" s="21">
        <v>13763.48</v>
      </c>
      <c r="E66" s="21">
        <v>16248.84</v>
      </c>
      <c r="F66" s="21">
        <v>16137.97</v>
      </c>
      <c r="G66" s="21">
        <v>20355.34</v>
      </c>
      <c r="H66" s="21">
        <v>22958.43</v>
      </c>
      <c r="I66" s="21">
        <v>25779.33</v>
      </c>
      <c r="J66" s="21">
        <v>29900.77</v>
      </c>
      <c r="K66" s="21">
        <v>30355.25</v>
      </c>
    </row>
    <row r="67" spans="1:13" s="25" customFormat="1">
      <c r="A67" s="25" t="s">
        <v>51</v>
      </c>
      <c r="B67" s="21">
        <v>1186.8399999999999</v>
      </c>
      <c r="C67" s="21">
        <v>1446.6</v>
      </c>
      <c r="D67" s="21">
        <v>1730.63</v>
      </c>
      <c r="E67" s="21">
        <v>1907.33</v>
      </c>
      <c r="F67" s="21">
        <v>1795.22</v>
      </c>
      <c r="G67" s="21">
        <v>2602.17</v>
      </c>
      <c r="H67" s="21">
        <v>3871.44</v>
      </c>
      <c r="I67" s="21">
        <v>4636.9399999999996</v>
      </c>
      <c r="J67" s="21">
        <v>4889.05</v>
      </c>
      <c r="K67" s="21">
        <v>4313.6499999999996</v>
      </c>
      <c r="M67" s="25">
        <f>SUM(H67:H68)-SUM(I67:I68)</f>
        <v>-823.15999999999985</v>
      </c>
    </row>
    <row r="68" spans="1:13">
      <c r="A68" s="25" t="s">
        <v>52</v>
      </c>
      <c r="B68" s="21">
        <v>1998.24</v>
      </c>
      <c r="C68" s="21">
        <v>2626.94</v>
      </c>
      <c r="D68" s="21">
        <v>2658.31</v>
      </c>
      <c r="E68" s="21">
        <v>3149.86</v>
      </c>
      <c r="F68" s="21">
        <v>3389.81</v>
      </c>
      <c r="G68" s="21">
        <v>3798.6</v>
      </c>
      <c r="H68" s="21">
        <v>6152.98</v>
      </c>
      <c r="I68" s="21">
        <v>6210.64</v>
      </c>
      <c r="J68" s="21">
        <v>5923.41</v>
      </c>
      <c r="K68" s="21">
        <v>6719.27</v>
      </c>
    </row>
    <row r="69" spans="1:13">
      <c r="A69" s="20" t="s">
        <v>53</v>
      </c>
      <c r="B69" s="21">
        <v>424.2</v>
      </c>
      <c r="C69" s="21">
        <v>801.21</v>
      </c>
      <c r="D69" s="21">
        <v>404.65</v>
      </c>
      <c r="E69" s="21">
        <v>444.88</v>
      </c>
      <c r="F69" s="21">
        <v>782.83</v>
      </c>
      <c r="G69" s="21">
        <v>610.75</v>
      </c>
      <c r="H69" s="21">
        <v>864.33</v>
      </c>
      <c r="I69" s="21">
        <v>843.82</v>
      </c>
      <c r="J69" s="21">
        <v>1084.01</v>
      </c>
      <c r="K69" s="21">
        <v>781.98</v>
      </c>
    </row>
    <row r="70" spans="1:13">
      <c r="A70" s="20" t="s">
        <v>54</v>
      </c>
      <c r="B70" s="21">
        <v>959197790</v>
      </c>
      <c r="C70" s="21">
        <v>959197790</v>
      </c>
      <c r="D70" s="21">
        <v>959197790</v>
      </c>
      <c r="E70" s="21">
        <v>959197790</v>
      </c>
      <c r="F70" s="21">
        <v>959197790</v>
      </c>
      <c r="G70" s="21">
        <v>959197790</v>
      </c>
      <c r="H70" s="21">
        <v>959197790</v>
      </c>
      <c r="I70" s="21">
        <v>959197790</v>
      </c>
      <c r="J70" s="21">
        <v>959197790</v>
      </c>
      <c r="K70" s="21">
        <v>959197790</v>
      </c>
    </row>
    <row r="71" spans="1:13">
      <c r="A71" s="20" t="s">
        <v>55</v>
      </c>
    </row>
    <row r="72" spans="1:13">
      <c r="A72" s="20" t="s">
        <v>56</v>
      </c>
      <c r="B72" s="21">
        <v>1</v>
      </c>
      <c r="C72" s="21">
        <v>1</v>
      </c>
      <c r="D72" s="21">
        <v>1</v>
      </c>
      <c r="E72" s="21">
        <v>1</v>
      </c>
      <c r="F72" s="21">
        <v>1</v>
      </c>
      <c r="G72" s="21">
        <v>1</v>
      </c>
      <c r="H72" s="21">
        <v>1</v>
      </c>
      <c r="I72" s="21">
        <v>1</v>
      </c>
      <c r="J72" s="21">
        <v>1</v>
      </c>
      <c r="K72" s="21">
        <v>1</v>
      </c>
    </row>
    <row r="74" spans="1:13">
      <c r="A74" s="25" t="s">
        <v>122</v>
      </c>
      <c r="G74" s="20">
        <f>SUM(F67:F68)-SUM(G67:G68)</f>
        <v>-1215.7400000000007</v>
      </c>
      <c r="H74" s="20">
        <f t="shared" ref="H74:K74" si="0">SUM(G67:G68)-SUM(H67:H68)</f>
        <v>-3623.6499999999996</v>
      </c>
      <c r="I74" s="20">
        <f t="shared" si="0"/>
        <v>-823.15999999999985</v>
      </c>
      <c r="J74" s="20">
        <f t="shared" si="0"/>
        <v>35.1200000000008</v>
      </c>
      <c r="K74" s="20">
        <f t="shared" si="0"/>
        <v>-220.46000000000095</v>
      </c>
    </row>
    <row r="75" spans="1:13">
      <c r="A75" s="25" t="s">
        <v>123</v>
      </c>
      <c r="G75" s="20">
        <f>'3 Statement model'!E19*(1-'Key Assumption '!$G$13)</f>
        <v>3269.6340000000009</v>
      </c>
      <c r="H75" s="20">
        <f>'3 Statement model'!F19*(1-'Key Assumption '!$G$13)</f>
        <v>7980.7751999999973</v>
      </c>
      <c r="I75" s="20">
        <f>'3 Statement model'!G19*(1-'Key Assumption '!$G$13)</f>
        <v>10989.409999999998</v>
      </c>
      <c r="J75" s="20">
        <f>'3 Statement model'!H19*(1-'Key Assumption '!$G$13)</f>
        <v>4530.4740000000011</v>
      </c>
      <c r="K75" s="20">
        <f>'3 Statement model'!I19*(1-'Key Assumption '!$G$13)</f>
        <v>2101.863600000002</v>
      </c>
    </row>
    <row r="76" spans="1:13">
      <c r="A76" s="25"/>
      <c r="G76" s="57">
        <f>G74/G75</f>
        <v>-0.37182755011723034</v>
      </c>
      <c r="H76" s="57">
        <f t="shared" ref="H76:J76" si="1">H74/H75</f>
        <v>-0.45404737123782174</v>
      </c>
      <c r="I76" s="57">
        <f t="shared" si="1"/>
        <v>-7.4904840205252149E-2</v>
      </c>
      <c r="J76" s="57">
        <f t="shared" si="1"/>
        <v>7.7519482508895962E-3</v>
      </c>
      <c r="K76" s="57">
        <f>K74/K75</f>
        <v>-0.10488787188664418</v>
      </c>
      <c r="L76" s="64"/>
    </row>
    <row r="77" spans="1:13">
      <c r="A77" s="25"/>
    </row>
    <row r="78" spans="1:13">
      <c r="A78" s="25"/>
    </row>
    <row r="79" spans="1:13">
      <c r="A79" s="25"/>
    </row>
    <row r="80" spans="1:13">
      <c r="A80" s="19" t="s">
        <v>57</v>
      </c>
    </row>
    <row r="81" spans="1:12" s="24" customFormat="1">
      <c r="A81" s="22" t="s">
        <v>22</v>
      </c>
      <c r="B81" s="23">
        <v>42460</v>
      </c>
      <c r="C81" s="23">
        <v>42825</v>
      </c>
      <c r="D81" s="23">
        <v>43190</v>
      </c>
      <c r="E81" s="23">
        <v>43555</v>
      </c>
      <c r="F81" s="23">
        <v>43921</v>
      </c>
      <c r="G81" s="23">
        <v>44286</v>
      </c>
      <c r="H81" s="23">
        <v>44651</v>
      </c>
      <c r="I81" s="23">
        <v>45016</v>
      </c>
      <c r="J81" s="23">
        <v>45382</v>
      </c>
      <c r="K81" s="23">
        <v>45747</v>
      </c>
    </row>
    <row r="82" spans="1:12" s="19" customFormat="1">
      <c r="A82" s="25" t="s">
        <v>58</v>
      </c>
      <c r="B82" s="21">
        <v>2242.9499999999998</v>
      </c>
      <c r="C82" s="21">
        <v>1527.33</v>
      </c>
      <c r="D82" s="21">
        <v>2113.44</v>
      </c>
      <c r="E82" s="21">
        <v>2469.54</v>
      </c>
      <c r="F82" s="21">
        <v>2631.89</v>
      </c>
      <c r="G82" s="21">
        <v>3683.35</v>
      </c>
      <c r="H82" s="21">
        <v>986.49</v>
      </c>
      <c r="I82" s="21">
        <v>4193.43</v>
      </c>
      <c r="J82" s="21">
        <v>6103.6</v>
      </c>
      <c r="K82" s="21">
        <v>4423.96</v>
      </c>
    </row>
    <row r="83" spans="1:12" s="25" customFormat="1">
      <c r="A83" s="25" t="s">
        <v>59</v>
      </c>
      <c r="B83" s="21">
        <v>-866.21</v>
      </c>
      <c r="C83" s="21">
        <v>-681.11</v>
      </c>
      <c r="D83" s="21">
        <v>-1556.14</v>
      </c>
      <c r="E83" s="21">
        <v>-917.79</v>
      </c>
      <c r="F83" s="21">
        <v>-517.91</v>
      </c>
      <c r="G83" s="21">
        <v>-540.54</v>
      </c>
      <c r="H83" s="21">
        <v>-316.75</v>
      </c>
      <c r="I83" s="21">
        <v>-1282.3399999999999</v>
      </c>
      <c r="J83" s="21">
        <v>-2548.48</v>
      </c>
      <c r="K83" s="21">
        <v>-940.91</v>
      </c>
    </row>
    <row r="84" spans="1:12" s="25" customFormat="1">
      <c r="A84" s="25" t="s">
        <v>60</v>
      </c>
      <c r="B84" s="21">
        <v>-848.98</v>
      </c>
      <c r="C84" s="21">
        <v>-756.43</v>
      </c>
      <c r="D84" s="21">
        <v>-1379.14</v>
      </c>
      <c r="E84" s="21">
        <v>-1117.46</v>
      </c>
      <c r="F84" s="21">
        <v>-2465.1999999999998</v>
      </c>
      <c r="G84" s="21">
        <v>-650.4</v>
      </c>
      <c r="H84" s="21">
        <v>-1807.61</v>
      </c>
      <c r="I84" s="21">
        <v>-2140.0500000000002</v>
      </c>
      <c r="J84" s="21">
        <v>-2982.5</v>
      </c>
      <c r="K84" s="21">
        <v>-3752.58</v>
      </c>
    </row>
    <row r="85" spans="1:12" s="19" customFormat="1">
      <c r="A85" s="25" t="s">
        <v>61</v>
      </c>
      <c r="B85" s="21">
        <v>527.76</v>
      </c>
      <c r="C85" s="21">
        <v>89.79</v>
      </c>
      <c r="D85" s="21">
        <v>-821.84</v>
      </c>
      <c r="E85" s="21">
        <v>434.29</v>
      </c>
      <c r="F85" s="21">
        <v>-351.22</v>
      </c>
      <c r="G85" s="21">
        <v>2492.41</v>
      </c>
      <c r="H85" s="21">
        <v>-1137.8699999999999</v>
      </c>
      <c r="I85" s="21">
        <v>771.04</v>
      </c>
      <c r="J85" s="21">
        <v>572.62</v>
      </c>
      <c r="K85" s="21">
        <v>-269.52999999999997</v>
      </c>
    </row>
    <row r="86" spans="1:12">
      <c r="A86" s="25"/>
    </row>
    <row r="87" spans="1:12">
      <c r="A87" s="25" t="s">
        <v>124</v>
      </c>
      <c r="G87" s="57">
        <f>G83/G75</f>
        <v>-0.16532125614059551</v>
      </c>
      <c r="H87" s="57">
        <f t="shared" ref="H87:J87" si="2">H83/H75</f>
        <v>-3.9689126940951815E-2</v>
      </c>
      <c r="I87" s="57">
        <f t="shared" si="2"/>
        <v>-0.11668870303319288</v>
      </c>
      <c r="J87" s="57">
        <f t="shared" si="2"/>
        <v>-0.56251950678891427</v>
      </c>
      <c r="K87" s="57">
        <f>K83/K75</f>
        <v>-0.44765511900962512</v>
      </c>
      <c r="L87" s="64">
        <f>AVERAGE(G87:K87)</f>
        <v>-0.2663747423826559</v>
      </c>
    </row>
    <row r="88" spans="1:12">
      <c r="A88" s="25"/>
      <c r="L88" s="64">
        <f>MEDIAN(G87:K87)</f>
        <v>-0.16532125614059551</v>
      </c>
    </row>
    <row r="89" spans="1:12">
      <c r="A89" s="25"/>
    </row>
    <row r="90" spans="1:12" s="19" customFormat="1">
      <c r="A90" s="19" t="s">
        <v>62</v>
      </c>
      <c r="B90" s="21">
        <v>868.4</v>
      </c>
      <c r="C90" s="21">
        <v>1073.5</v>
      </c>
      <c r="D90" s="21">
        <v>1120.4000000000001</v>
      </c>
      <c r="E90" s="21">
        <v>1492.7</v>
      </c>
      <c r="F90" s="21">
        <v>1666.5</v>
      </c>
      <c r="G90" s="21">
        <v>2537.4</v>
      </c>
      <c r="H90" s="21">
        <v>3079.95</v>
      </c>
      <c r="I90" s="21">
        <v>2761.65</v>
      </c>
      <c r="J90" s="21">
        <v>2846.75</v>
      </c>
      <c r="K90" s="21">
        <v>2340.65</v>
      </c>
    </row>
    <row r="92" spans="1:12" s="19" customFormat="1">
      <c r="A92" s="19" t="s">
        <v>63</v>
      </c>
    </row>
    <row r="93" spans="1:12">
      <c r="A93" s="20" t="s">
        <v>64</v>
      </c>
      <c r="B93" s="26">
        <v>95.92</v>
      </c>
      <c r="C93" s="26">
        <v>95.92</v>
      </c>
      <c r="D93" s="26">
        <v>95.92</v>
      </c>
      <c r="E93" s="26">
        <v>95.92</v>
      </c>
      <c r="F93" s="26">
        <v>95.92</v>
      </c>
      <c r="G93" s="26">
        <v>95.92</v>
      </c>
      <c r="H93" s="26">
        <v>95.92</v>
      </c>
      <c r="I93" s="26">
        <v>95.92</v>
      </c>
      <c r="J93" s="26">
        <v>95.92</v>
      </c>
      <c r="K93" s="26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  <ignoredErrors>
    <ignoredError sqref="M6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Key Assumption </vt:lpstr>
      <vt:lpstr>3 Statement model</vt:lpstr>
      <vt:lpstr>Revenue Growth and Assumption</vt:lpstr>
      <vt:lpstr>Beta</vt:lpstr>
      <vt:lpstr>WACC</vt:lpstr>
      <vt:lpstr>DCF Modelling</vt:lpstr>
      <vt:lpstr>Comp</vt:lpstr>
      <vt:lpstr>Ratio Analysis</vt:lpstr>
      <vt:lpstr>Data Sheet</vt:lpstr>
      <vt:lpstr>'Data Sheet'!UPDATE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Uzair</dc:creator>
  <cp:lastModifiedBy>Mohd Uzair </cp:lastModifiedBy>
  <dcterms:created xsi:type="dcterms:W3CDTF">2026-03-02T22:25:45Z</dcterms:created>
  <dcterms:modified xsi:type="dcterms:W3CDTF">2026-03-13T14:59:03Z</dcterms:modified>
</cp:coreProperties>
</file>